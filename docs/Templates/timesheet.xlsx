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7236921334e482/Documents/2025/RudzinaHealth/"/>
    </mc:Choice>
  </mc:AlternateContent>
  <xr:revisionPtr revIDLastSave="7" documentId="8_{FEAB49C6-CA19-4F09-ABFC-DDD3DB2BC2EB}" xr6:coauthVersionLast="47" xr6:coauthVersionMax="47" xr10:uidLastSave="{3B7D5AA6-0846-45AE-8B6C-2AFFA47FAB29}"/>
  <bookViews>
    <workbookView xWindow="2010" yWindow="1665" windowWidth="21600" windowHeight="11235" xr2:uid="{00000000-000D-0000-FFFF-FFFF00000000}"/>
  </bookViews>
  <sheets>
    <sheet name="Ti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H9" i="1" s="1"/>
  <c r="B9" i="1"/>
  <c r="G8" i="1"/>
  <c r="H8" i="1" s="1"/>
  <c r="B8" i="1"/>
  <c r="G7" i="1"/>
  <c r="H7" i="1" s="1"/>
  <c r="B7" i="1"/>
  <c r="G6" i="1"/>
  <c r="H6" i="1" s="1"/>
  <c r="B6" i="1"/>
  <c r="G5" i="1"/>
  <c r="H5" i="1" s="1"/>
  <c r="B5" i="1"/>
  <c r="G4" i="1"/>
  <c r="H4" i="1" s="1"/>
  <c r="B4" i="1"/>
  <c r="G3" i="1"/>
  <c r="H3" i="1" s="1"/>
  <c r="B3" i="1"/>
  <c r="D1" i="1"/>
  <c r="H10" i="1" l="1"/>
  <c r="G10" i="1"/>
</calcChain>
</file>

<file path=xl/sharedStrings.xml><?xml version="1.0" encoding="utf-8"?>
<sst xmlns="http://schemas.openxmlformats.org/spreadsheetml/2006/main" count="18" uniqueCount="16">
  <si>
    <t>Pay Period</t>
  </si>
  <si>
    <t xml:space="preserve">to </t>
  </si>
  <si>
    <t>Day</t>
  </si>
  <si>
    <t>Date</t>
  </si>
  <si>
    <t>Time In</t>
  </si>
  <si>
    <t>Time Out</t>
  </si>
  <si>
    <t>Hours</t>
  </si>
  <si>
    <t>Hours Decimal</t>
  </si>
  <si>
    <t>Sunday</t>
  </si>
  <si>
    <t>Monday</t>
  </si>
  <si>
    <t>Tuesday</t>
  </si>
  <si>
    <t>Wednesday</t>
  </si>
  <si>
    <t>Thursday</t>
  </si>
  <si>
    <t>Friday</t>
  </si>
  <si>
    <t>Saturday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</si>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</sst>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5"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BDBD"/>
        <bgColor rgb="FFFFBDBD"/>
      </patternFill>
    </fill>
    <fill>
      <patternFill patternType="solid">
        <fgColor rgb="FF63F0FF"/>
        <bgColor rgb="FF63F0FF"/>
      </patternFill>
    </fill>
    <fill>
      <patternFill patternType="solid">
        <fgColor rgb="FFFFFFFF"/>
        <bgColor rgb="FFFFFFFF"/>
      </patternFill>
    </fill>
    <fill>
      <patternFill patternType="solid">
        <fgColor rgb="FFA7FFAE"/>
        <bgColor rgb="FFA7FFA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0" borderId="1" xfId="0" applyFont="1" applyBorder="1"/>
    <xf numFmtId="14" fontId="3" fillId="4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left"/>
    </xf>
    <xf numFmtId="46" fontId="1" fillId="4" borderId="1" xfId="0" applyNumberFormat="1" applyFont="1" applyFill="1" applyBorder="1"/>
    <xf numFmtId="4" fontId="3" fillId="4" borderId="1" xfId="0" applyNumberFormat="1" applyFont="1" applyFill="1" applyBorder="1"/>
    <xf numFmtId="18" fontId="1" fillId="4" borderId="1" xfId="0" applyNumberFormat="1" applyFont="1" applyFill="1" applyBorder="1" applyAlignment="1">
      <alignment horizontal="left"/>
    </xf>
    <xf numFmtId="0" fontId="1" fillId="0" borderId="3" xfId="0" applyFont="1" applyBorder="1"/>
    <xf numFmtId="0" fontId="1" fillId="5" borderId="3" xfId="0" applyFont="1" applyFill="1" applyBorder="1"/>
    <xf numFmtId="46" fontId="1" fillId="5" borderId="3" xfId="0" applyNumberFormat="1" applyFont="1" applyFill="1" applyBorder="1"/>
    <xf numFmtId="0" fontId="3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7" sqref="F7"/>
    </sheetView>
  </sheetViews>
  <sheetFormatPr defaultRowHeight="15"/>
  <cols>
    <col min="1" max="1" width="10.85546875" bestFit="1" customWidth="1"/>
    <col min="2" max="2" width="9.140625" bestFit="1" customWidth="1"/>
    <col min="3" max="3" width="8" bestFit="1" customWidth="1"/>
    <col min="5" max="5" width="7.7109375" bestFit="1" customWidth="1"/>
    <col min="6" max="6" width="10" bestFit="1" customWidth="1"/>
    <col min="7" max="7" width="7.85546875" bestFit="1" customWidth="1"/>
    <col min="8" max="8" width="13.42578125" bestFit="1" customWidth="1"/>
  </cols>
  <sheetData>
    <row r="1" spans="1:8">
      <c r="A1" s="2" t="s">
        <v>0</v>
      </c>
      <c r="B1" s="3">
        <v>45809</v>
      </c>
      <c r="C1" s="4" t="s">
        <v>1</v>
      </c>
      <c r="D1" s="3">
        <f>B1+6</f>
        <v>45815</v>
      </c>
      <c r="E1" s="5"/>
      <c r="F1" s="1"/>
      <c r="G1" s="5"/>
      <c r="H1" s="6"/>
    </row>
    <row r="2" spans="1:8">
      <c r="A2" s="7" t="s">
        <v>2</v>
      </c>
      <c r="B2" s="8" t="s">
        <v>3</v>
      </c>
      <c r="C2" s="8" t="s">
        <v>4</v>
      </c>
      <c r="D2" s="8" t="s">
        <v>5</v>
      </c>
      <c r="E2" s="8" t="s">
        <v>4</v>
      </c>
      <c r="F2" s="8" t="s">
        <v>5</v>
      </c>
      <c r="G2" s="8" t="s">
        <v>6</v>
      </c>
      <c r="H2" s="8" t="s">
        <v>7</v>
      </c>
    </row>
    <row r="3" spans="1:8">
      <c r="A3" s="9" t="s">
        <v>8</v>
      </c>
      <c r="B3" s="10">
        <f>B1</f>
        <v>45809</v>
      </c>
      <c r="C3" s="11"/>
      <c r="D3" s="11"/>
      <c r="E3" s="11"/>
      <c r="F3" s="11"/>
      <c r="G3" s="12">
        <f t="shared" ref="G3:G9" si="0">(D:D-C:C)+(F:F-E:E)</f>
        <v>0</v>
      </c>
      <c r="H3" s="13">
        <f t="shared" ref="H3:H9" si="1">G3*24</f>
        <v>0</v>
      </c>
    </row>
    <row r="4" spans="1:8">
      <c r="A4" s="9" t="s">
        <v>9</v>
      </c>
      <c r="B4" s="10">
        <f>B1+1</f>
        <v>45810</v>
      </c>
      <c r="C4" s="14"/>
      <c r="D4" s="14"/>
      <c r="E4" s="14"/>
      <c r="F4" s="14"/>
      <c r="G4" s="12">
        <f t="shared" si="0"/>
        <v>0</v>
      </c>
      <c r="H4" s="13">
        <f t="shared" si="1"/>
        <v>0</v>
      </c>
    </row>
    <row r="5" spans="1:8">
      <c r="A5" s="9" t="s">
        <v>10</v>
      </c>
      <c r="B5" s="10">
        <f>B1+2</f>
        <v>45811</v>
      </c>
      <c r="C5" s="14"/>
      <c r="D5" s="14"/>
      <c r="E5" s="14"/>
      <c r="F5" s="14"/>
      <c r="G5" s="12">
        <f t="shared" si="0"/>
        <v>0</v>
      </c>
      <c r="H5" s="13">
        <f t="shared" si="1"/>
        <v>0</v>
      </c>
    </row>
    <row r="6" spans="1:8">
      <c r="A6" s="9" t="s">
        <v>11</v>
      </c>
      <c r="B6" s="10">
        <f>B1+3</f>
        <v>45812</v>
      </c>
      <c r="C6" s="14">
        <v>0.33333333333333331</v>
      </c>
      <c r="D6" s="14">
        <v>0.54166666666666663</v>
      </c>
      <c r="E6" s="14">
        <v>0.5625</v>
      </c>
      <c r="F6" s="14">
        <v>0.6875</v>
      </c>
      <c r="G6" s="12">
        <f t="shared" si="0"/>
        <v>0.33333333333333331</v>
      </c>
      <c r="H6" s="13">
        <f t="shared" si="1"/>
        <v>8</v>
      </c>
    </row>
    <row r="7" spans="1:8">
      <c r="A7" s="9" t="s">
        <v>12</v>
      </c>
      <c r="B7" s="10">
        <f>B1+4</f>
        <v>45813</v>
      </c>
      <c r="C7" s="14"/>
      <c r="D7" s="14"/>
      <c r="E7" s="14"/>
      <c r="F7" s="14"/>
      <c r="G7" s="12">
        <f t="shared" si="0"/>
        <v>0</v>
      </c>
      <c r="H7" s="13">
        <f t="shared" si="1"/>
        <v>0</v>
      </c>
    </row>
    <row r="8" spans="1:8">
      <c r="A8" s="9" t="s">
        <v>13</v>
      </c>
      <c r="B8" s="10">
        <f>B1+5</f>
        <v>45814</v>
      </c>
      <c r="C8" s="14"/>
      <c r="D8" s="14"/>
      <c r="E8" s="14"/>
      <c r="F8" s="14"/>
      <c r="G8" s="12">
        <f t="shared" si="0"/>
        <v>0</v>
      </c>
      <c r="H8" s="13">
        <f t="shared" si="1"/>
        <v>0</v>
      </c>
    </row>
    <row r="9" spans="1:8">
      <c r="A9" s="9" t="s">
        <v>14</v>
      </c>
      <c r="B9" s="10">
        <f>B1+6</f>
        <v>45815</v>
      </c>
      <c r="C9" s="11"/>
      <c r="D9" s="11"/>
      <c r="E9" s="11"/>
      <c r="F9" s="11"/>
      <c r="G9" s="12">
        <f t="shared" si="0"/>
        <v>0</v>
      </c>
      <c r="H9" s="13">
        <f t="shared" si="1"/>
        <v>0</v>
      </c>
    </row>
    <row r="10" spans="1:8">
      <c r="A10" s="5"/>
      <c r="B10" s="15"/>
      <c r="C10" s="15"/>
      <c r="D10" s="15"/>
      <c r="E10" s="15"/>
      <c r="F10" s="16" t="s">
        <v>15</v>
      </c>
      <c r="G10" s="17">
        <f t="shared" ref="G10:H10" si="2">SUM(G3:G9)</f>
        <v>0.33333333333333331</v>
      </c>
      <c r="H10" s="18">
        <f t="shared" si="2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Powell</dc:creator>
  <cp:keywords/>
  <dc:description/>
  <cp:lastModifiedBy>Patrick Powell</cp:lastModifiedBy>
  <cp:revision/>
  <dcterms:created xsi:type="dcterms:W3CDTF">2017-11-15T00:22:04Z</dcterms:created>
  <dcterms:modified xsi:type="dcterms:W3CDTF">2025-09-05T18:46:43Z</dcterms:modified>
  <cp:category/>
  <cp:contentStatus/>
</cp:coreProperties>
</file>