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mami\OneDrive\Documents\Resources\Excel\"/>
    </mc:Choice>
  </mc:AlternateContent>
  <xr:revisionPtr revIDLastSave="5" documentId="ED8E9816D350DDF690B8E433BB32223F88ACDC69" xr6:coauthVersionLast="25" xr6:coauthVersionMax="25" xr10:uidLastSave="{4B3611C4-0707-4C89-9122-E4C0EC2594B5}"/>
  <bookViews>
    <workbookView xWindow="0" yWindow="0" windowWidth="18020" windowHeight="8530" tabRatio="714" firstSheet="66" activeTab="72" xr2:uid="{00000000-000D-0000-FFFF-FFFF00000000}"/>
  </bookViews>
  <sheets>
    <sheet name="4.25.17" sheetId="1" r:id="rId1"/>
    <sheet name="4.26.2017" sheetId="2" r:id="rId2"/>
    <sheet name="4.27.2017" sheetId="3" r:id="rId3"/>
    <sheet name="4.28.2017" sheetId="4" r:id="rId4"/>
    <sheet name="5.02.2017" sheetId="5" r:id="rId5"/>
    <sheet name="5.03.2017" sheetId="6" r:id="rId6"/>
    <sheet name="5.04.2017" sheetId="7" r:id="rId7"/>
    <sheet name="5.05.2017" sheetId="8" r:id="rId8"/>
    <sheet name="5.08.2017" sheetId="9" r:id="rId9"/>
    <sheet name="5.09.2017" sheetId="10" r:id="rId10"/>
    <sheet name="5.10.2017" sheetId="11" r:id="rId11"/>
    <sheet name="5.11.2017" sheetId="12" r:id="rId12"/>
    <sheet name="5.12.2016" sheetId="13" r:id="rId13"/>
    <sheet name="5.15.2017" sheetId="14" r:id="rId14"/>
    <sheet name="5.16.2017" sheetId="15" r:id="rId15"/>
    <sheet name="5.17.17" sheetId="16" r:id="rId16"/>
    <sheet name="5.18.2017" sheetId="17" r:id="rId17"/>
    <sheet name="5.19.2017" sheetId="18" r:id="rId18"/>
    <sheet name="5.22.2017" sheetId="19" r:id="rId19"/>
    <sheet name="5.23.2017" sheetId="20" r:id="rId20"/>
    <sheet name="5.24.2017" sheetId="21" r:id="rId21"/>
    <sheet name="5.25.2017" sheetId="22" r:id="rId22"/>
    <sheet name="5.26.2017" sheetId="23" r:id="rId23"/>
    <sheet name="5.30.2017" sheetId="24" r:id="rId24"/>
    <sheet name="5.31.2017" sheetId="25" r:id="rId25"/>
    <sheet name="6.01.2017" sheetId="26" r:id="rId26"/>
    <sheet name="6.02.2017" sheetId="27" r:id="rId27"/>
    <sheet name="6.05.2017" sheetId="28" r:id="rId28"/>
    <sheet name="6.06.2017" sheetId="29" r:id="rId29"/>
    <sheet name="6.07.2017" sheetId="30" r:id="rId30"/>
    <sheet name="6.08.2017" sheetId="32" r:id="rId31"/>
    <sheet name="6.09.2017" sheetId="33" r:id="rId32"/>
    <sheet name="6.12.2017" sheetId="34" r:id="rId33"/>
    <sheet name="6.13.2017" sheetId="35" r:id="rId34"/>
    <sheet name="6.14.2017" sheetId="36" r:id="rId35"/>
    <sheet name="6.15.2017" sheetId="37" r:id="rId36"/>
    <sheet name="6.16.2017" sheetId="38" r:id="rId37"/>
    <sheet name="6.19.2017" sheetId="39" r:id="rId38"/>
    <sheet name="6.20.2017" sheetId="40" r:id="rId39"/>
    <sheet name="6.21.2017" sheetId="41" r:id="rId40"/>
    <sheet name="6.22.2017" sheetId="42" r:id="rId41"/>
    <sheet name="6.23.2017" sheetId="43" r:id="rId42"/>
    <sheet name="6.26.2017" sheetId="44" r:id="rId43"/>
    <sheet name="6.27.2017" sheetId="45" r:id="rId44"/>
    <sheet name="6.28.2017" sheetId="47" r:id="rId45"/>
    <sheet name="6.29.2017" sheetId="48" r:id="rId46"/>
    <sheet name="6.30.2017" sheetId="49" r:id="rId47"/>
    <sheet name="7.03.2017" sheetId="50" r:id="rId48"/>
    <sheet name="7.05.2017" sheetId="51" r:id="rId49"/>
    <sheet name="7.06.2017" sheetId="53" r:id="rId50"/>
    <sheet name="7.07.2017" sheetId="54" r:id="rId51"/>
    <sheet name="7.10.2017" sheetId="55" r:id="rId52"/>
    <sheet name="7.11.2017" sheetId="56" r:id="rId53"/>
    <sheet name="7.12.2017" sheetId="57" r:id="rId54"/>
    <sheet name="7.13.2017" sheetId="58" r:id="rId55"/>
    <sheet name="7.14.2017" sheetId="59" r:id="rId56"/>
    <sheet name="7.17.2017" sheetId="60" r:id="rId57"/>
    <sheet name="7.18.2017" sheetId="61" r:id="rId58"/>
    <sheet name="7.19.2017" sheetId="62" r:id="rId59"/>
    <sheet name="7.20.2017" sheetId="63" r:id="rId60"/>
    <sheet name="7.21.2017" sheetId="64" r:id="rId61"/>
    <sheet name="7.24.2017" sheetId="65" r:id="rId62"/>
    <sheet name="7.25.2017" sheetId="66" r:id="rId63"/>
    <sheet name="7.26.2017" sheetId="67" r:id="rId64"/>
    <sheet name="7.27.2017" sheetId="68" r:id="rId65"/>
    <sheet name="7.28.2017" sheetId="69" r:id="rId66"/>
    <sheet name="7.31.2017" sheetId="70" r:id="rId67"/>
    <sheet name="8.1.2017" sheetId="71" r:id="rId68"/>
    <sheet name="8.2.2017" sheetId="72" r:id="rId69"/>
    <sheet name="8.3.2017" sheetId="73" r:id="rId70"/>
    <sheet name="8.4.2017" sheetId="74" r:id="rId71"/>
    <sheet name="QueryTable" sheetId="77" r:id="rId72"/>
    <sheet name="WebData" sheetId="76" r:id="rId73"/>
  </sheets>
  <definedNames>
    <definedName name="ExternalData_1" localSheetId="71" hidden="1">QueryTable!$A$1:$D$33</definedName>
  </definedNames>
  <calcPr calcId="171027"/>
</workbook>
</file>

<file path=xl/calcChain.xml><?xml version="1.0" encoding="utf-8"?>
<calcChain xmlns="http://schemas.openxmlformats.org/spreadsheetml/2006/main">
  <c r="E2" i="77" l="1"/>
  <c r="E3" i="77"/>
  <c r="E4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E30" i="77"/>
  <c r="E31" i="77"/>
  <c r="E32" i="77"/>
  <c r="E33" i="77"/>
  <c r="G30" i="74" l="1"/>
  <c r="G29" i="74"/>
  <c r="G28" i="74"/>
  <c r="G27" i="74"/>
  <c r="G26" i="74"/>
  <c r="G25" i="74"/>
  <c r="G24" i="74"/>
  <c r="G23" i="74"/>
  <c r="G22" i="74"/>
  <c r="G21" i="74"/>
  <c r="G20" i="74"/>
  <c r="G18" i="74"/>
  <c r="G17" i="74"/>
  <c r="G16" i="74"/>
  <c r="G14" i="74"/>
  <c r="G13" i="74"/>
  <c r="G12" i="74"/>
  <c r="G10" i="74"/>
  <c r="G9" i="74"/>
  <c r="G7" i="74"/>
  <c r="G4" i="74"/>
  <c r="E4" i="74" s="1"/>
  <c r="G3" i="74"/>
  <c r="E3" i="74" s="1"/>
  <c r="G30" i="73" l="1"/>
  <c r="G29" i="73"/>
  <c r="G28" i="73"/>
  <c r="G27" i="73"/>
  <c r="G26" i="73"/>
  <c r="G25" i="73"/>
  <c r="G24" i="73"/>
  <c r="G23" i="73"/>
  <c r="G22" i="73"/>
  <c r="G21" i="73"/>
  <c r="G20" i="73"/>
  <c r="G18" i="73"/>
  <c r="G17" i="73"/>
  <c r="G16" i="73"/>
  <c r="G14" i="73"/>
  <c r="G13" i="73"/>
  <c r="G12" i="73"/>
  <c r="G10" i="73"/>
  <c r="G9" i="73"/>
  <c r="G7" i="73"/>
  <c r="G4" i="73"/>
  <c r="E4" i="73" s="1"/>
  <c r="G3" i="73"/>
  <c r="E3" i="73" s="1"/>
  <c r="G30" i="72" l="1"/>
  <c r="G29" i="72"/>
  <c r="G28" i="72"/>
  <c r="G27" i="72"/>
  <c r="G26" i="72"/>
  <c r="G25" i="72"/>
  <c r="G24" i="72"/>
  <c r="G23" i="72"/>
  <c r="G22" i="72"/>
  <c r="G21" i="72"/>
  <c r="G20" i="72"/>
  <c r="G18" i="72"/>
  <c r="G17" i="72"/>
  <c r="G16" i="72"/>
  <c r="G14" i="72"/>
  <c r="G13" i="72"/>
  <c r="G12" i="72"/>
  <c r="G10" i="72"/>
  <c r="G9" i="72"/>
  <c r="G7" i="72"/>
  <c r="G4" i="72"/>
  <c r="E4" i="72" s="1"/>
  <c r="G3" i="72" l="1"/>
  <c r="E3" i="72" s="1"/>
  <c r="G30" i="71"/>
  <c r="G29" i="71"/>
  <c r="G28" i="71"/>
  <c r="G27" i="71"/>
  <c r="G26" i="71"/>
  <c r="G25" i="71"/>
  <c r="G24" i="71"/>
  <c r="G23" i="71"/>
  <c r="G22" i="71"/>
  <c r="G21" i="71"/>
  <c r="G20" i="71"/>
  <c r="G18" i="71"/>
  <c r="G17" i="71"/>
  <c r="G16" i="71"/>
  <c r="G14" i="71"/>
  <c r="G13" i="71"/>
  <c r="G12" i="71"/>
  <c r="G10" i="71"/>
  <c r="G9" i="71"/>
  <c r="G7" i="71"/>
  <c r="G4" i="71"/>
  <c r="E4" i="71" s="1"/>
  <c r="G3" i="71"/>
  <c r="E3" i="71" s="1"/>
  <c r="G30" i="70" l="1"/>
  <c r="G29" i="70"/>
  <c r="G28" i="70"/>
  <c r="G27" i="70"/>
  <c r="G26" i="70"/>
  <c r="G25" i="70"/>
  <c r="G24" i="70"/>
  <c r="G23" i="70"/>
  <c r="G22" i="70"/>
  <c r="G21" i="70"/>
  <c r="G20" i="70"/>
  <c r="G18" i="70"/>
  <c r="G17" i="70"/>
  <c r="G16" i="70"/>
  <c r="G14" i="70"/>
  <c r="G13" i="70"/>
  <c r="G12" i="70"/>
  <c r="G10" i="70"/>
  <c r="G9" i="70"/>
  <c r="G7" i="70"/>
  <c r="G4" i="70"/>
  <c r="E4" i="70" s="1"/>
  <c r="G3" i="70"/>
  <c r="E3" i="70" s="1"/>
  <c r="G30" i="69" l="1"/>
  <c r="G29" i="69"/>
  <c r="G28" i="69"/>
  <c r="G27" i="69"/>
  <c r="G26" i="69"/>
  <c r="G25" i="69"/>
  <c r="G24" i="69"/>
  <c r="G23" i="69"/>
  <c r="G22" i="69"/>
  <c r="G21" i="69"/>
  <c r="G20" i="69"/>
  <c r="G18" i="69"/>
  <c r="G17" i="69"/>
  <c r="G16" i="69"/>
  <c r="G14" i="69"/>
  <c r="G13" i="69"/>
  <c r="G12" i="69"/>
  <c r="G10" i="69"/>
  <c r="G9" i="69"/>
  <c r="G7" i="69"/>
  <c r="G4" i="69"/>
  <c r="E4" i="69" s="1"/>
  <c r="G3" i="69"/>
  <c r="E3" i="69" s="1"/>
  <c r="G30" i="68" l="1"/>
  <c r="G29" i="68"/>
  <c r="G28" i="68"/>
  <c r="G27" i="68"/>
  <c r="G26" i="68"/>
  <c r="G25" i="68"/>
  <c r="G24" i="68"/>
  <c r="G23" i="68"/>
  <c r="G22" i="68"/>
  <c r="G21" i="68"/>
  <c r="G20" i="68"/>
  <c r="G18" i="68"/>
  <c r="G17" i="68"/>
  <c r="G16" i="68"/>
  <c r="G14" i="68"/>
  <c r="G13" i="68"/>
  <c r="G12" i="68"/>
  <c r="G10" i="68"/>
  <c r="G9" i="68"/>
  <c r="G7" i="68"/>
  <c r="G4" i="68"/>
  <c r="E4" i="68" s="1"/>
  <c r="G3" i="68"/>
  <c r="E3" i="68" s="1"/>
  <c r="G30" i="67" l="1"/>
  <c r="G29" i="67"/>
  <c r="G28" i="67"/>
  <c r="G27" i="67"/>
  <c r="G26" i="67"/>
  <c r="G25" i="67"/>
  <c r="G24" i="67"/>
  <c r="G23" i="67"/>
  <c r="G22" i="67"/>
  <c r="G21" i="67"/>
  <c r="G20" i="67"/>
  <c r="G18" i="67"/>
  <c r="G17" i="67"/>
  <c r="G16" i="67"/>
  <c r="G14" i="67"/>
  <c r="G13" i="67"/>
  <c r="G12" i="67"/>
  <c r="G10" i="67"/>
  <c r="G9" i="67"/>
  <c r="G7" i="67"/>
  <c r="G4" i="67"/>
  <c r="E4" i="67" s="1"/>
  <c r="G3" i="67"/>
  <c r="E3" i="67" s="1"/>
  <c r="G30" i="66" l="1"/>
  <c r="G29" i="66"/>
  <c r="G28" i="66"/>
  <c r="G27" i="66"/>
  <c r="G26" i="66"/>
  <c r="G25" i="66"/>
  <c r="G24" i="66"/>
  <c r="G23" i="66"/>
  <c r="G22" i="66"/>
  <c r="G21" i="66"/>
  <c r="G20" i="66"/>
  <c r="G18" i="66"/>
  <c r="G17" i="66"/>
  <c r="G16" i="66"/>
  <c r="G14" i="66"/>
  <c r="G13" i="66"/>
  <c r="G12" i="66"/>
  <c r="G10" i="66"/>
  <c r="G9" i="66"/>
  <c r="G7" i="66"/>
  <c r="G4" i="66"/>
  <c r="E4" i="66" s="1"/>
  <c r="G3" i="66"/>
  <c r="E3" i="66" s="1"/>
  <c r="G30" i="65" l="1"/>
  <c r="G29" i="65"/>
  <c r="G28" i="65"/>
  <c r="G27" i="65"/>
  <c r="G26" i="65"/>
  <c r="G25" i="65"/>
  <c r="G24" i="65"/>
  <c r="G23" i="65"/>
  <c r="G22" i="65"/>
  <c r="G21" i="65"/>
  <c r="G20" i="65"/>
  <c r="G18" i="65"/>
  <c r="G17" i="65"/>
  <c r="G16" i="65"/>
  <c r="G14" i="65"/>
  <c r="G13" i="65"/>
  <c r="G12" i="65"/>
  <c r="G10" i="65"/>
  <c r="G9" i="65"/>
  <c r="G7" i="65"/>
  <c r="G4" i="65"/>
  <c r="E4" i="65" s="1"/>
  <c r="G3" i="65"/>
  <c r="E3" i="65" s="1"/>
  <c r="G30" i="64" l="1"/>
  <c r="G29" i="64"/>
  <c r="G28" i="64"/>
  <c r="G27" i="64"/>
  <c r="G26" i="64"/>
  <c r="G25" i="64"/>
  <c r="G24" i="64"/>
  <c r="G23" i="64"/>
  <c r="G22" i="64"/>
  <c r="G21" i="64"/>
  <c r="G20" i="64"/>
  <c r="G18" i="64"/>
  <c r="G17" i="64"/>
  <c r="G16" i="64"/>
  <c r="G14" i="64"/>
  <c r="G13" i="64"/>
  <c r="G12" i="64"/>
  <c r="G10" i="64"/>
  <c r="G9" i="64"/>
  <c r="G7" i="64"/>
  <c r="G4" i="64"/>
  <c r="G3" i="64"/>
  <c r="E3" i="64" s="1"/>
  <c r="E4" i="64"/>
  <c r="G4" i="63" l="1"/>
  <c r="E4" i="63" s="1"/>
  <c r="G3" i="63"/>
  <c r="E3" i="63" s="1"/>
  <c r="G30" i="63"/>
  <c r="G29" i="63"/>
  <c r="G28" i="63"/>
  <c r="G27" i="63"/>
  <c r="G26" i="63"/>
  <c r="G25" i="63"/>
  <c r="G24" i="63"/>
  <c r="G23" i="63"/>
  <c r="G22" i="63"/>
  <c r="G21" i="63"/>
  <c r="G20" i="63"/>
  <c r="G18" i="63"/>
  <c r="G17" i="63"/>
  <c r="G16" i="63"/>
  <c r="G14" i="63"/>
  <c r="G13" i="63"/>
  <c r="G12" i="63"/>
  <c r="G10" i="63"/>
  <c r="G9" i="63"/>
  <c r="G7" i="63"/>
  <c r="G30" i="62" l="1"/>
  <c r="G29" i="62"/>
  <c r="G28" i="62"/>
  <c r="G27" i="62"/>
  <c r="G26" i="62"/>
  <c r="G25" i="62"/>
  <c r="G24" i="62"/>
  <c r="G23" i="62"/>
  <c r="G22" i="62"/>
  <c r="G21" i="62"/>
  <c r="G20" i="62"/>
  <c r="G18" i="62"/>
  <c r="G17" i="62"/>
  <c r="G16" i="62"/>
  <c r="G14" i="62"/>
  <c r="G13" i="62"/>
  <c r="G12" i="62"/>
  <c r="G10" i="62"/>
  <c r="G9" i="62"/>
  <c r="G7" i="62"/>
  <c r="G4" i="62"/>
  <c r="E4" i="62" s="1"/>
  <c r="G3" i="62"/>
  <c r="E3" i="62"/>
  <c r="G30" i="61" l="1"/>
  <c r="G29" i="61"/>
  <c r="G28" i="61"/>
  <c r="G27" i="61"/>
  <c r="G26" i="61"/>
  <c r="G25" i="61"/>
  <c r="G24" i="61"/>
  <c r="G23" i="61"/>
  <c r="G22" i="61"/>
  <c r="G21" i="61"/>
  <c r="G20" i="61"/>
  <c r="G18" i="61"/>
  <c r="G17" i="61"/>
  <c r="G16" i="61"/>
  <c r="G14" i="61"/>
  <c r="G13" i="61"/>
  <c r="G12" i="61"/>
  <c r="G10" i="61"/>
  <c r="G9" i="61"/>
  <c r="G7" i="61"/>
  <c r="G4" i="61"/>
  <c r="E4" i="61" s="1"/>
  <c r="G3" i="61"/>
  <c r="E3" i="61" s="1"/>
  <c r="G30" i="60" l="1"/>
  <c r="G29" i="60"/>
  <c r="G28" i="60"/>
  <c r="G27" i="60"/>
  <c r="G26" i="60"/>
  <c r="G25" i="60"/>
  <c r="G24" i="60"/>
  <c r="G23" i="60"/>
  <c r="G22" i="60"/>
  <c r="G21" i="60"/>
  <c r="G20" i="60"/>
  <c r="G18" i="60"/>
  <c r="G17" i="60"/>
  <c r="G16" i="60"/>
  <c r="G14" i="60"/>
  <c r="G13" i="60"/>
  <c r="G12" i="60"/>
  <c r="G10" i="60"/>
  <c r="G9" i="60"/>
  <c r="G7" i="60"/>
  <c r="G4" i="60"/>
  <c r="E4" i="60" s="1"/>
  <c r="G3" i="60"/>
  <c r="E3" i="60" s="1"/>
  <c r="G30" i="59" l="1"/>
  <c r="G29" i="59"/>
  <c r="G28" i="59"/>
  <c r="G27" i="59"/>
  <c r="G26" i="59"/>
  <c r="G25" i="59"/>
  <c r="G24" i="59"/>
  <c r="G23" i="59"/>
  <c r="G22" i="59"/>
  <c r="G21" i="59"/>
  <c r="G20" i="59"/>
  <c r="G18" i="59"/>
  <c r="G17" i="59"/>
  <c r="G16" i="59"/>
  <c r="G14" i="59"/>
  <c r="G13" i="59"/>
  <c r="G12" i="59"/>
  <c r="G10" i="59"/>
  <c r="G9" i="59"/>
  <c r="G7" i="59"/>
  <c r="G4" i="59"/>
  <c r="E4" i="59" s="1"/>
  <c r="G3" i="59"/>
  <c r="E3" i="59" s="1"/>
  <c r="G30" i="58" l="1"/>
  <c r="G29" i="58"/>
  <c r="G28" i="58"/>
  <c r="G27" i="58"/>
  <c r="G26" i="58"/>
  <c r="G25" i="58"/>
  <c r="G24" i="58"/>
  <c r="G23" i="58"/>
  <c r="G22" i="58"/>
  <c r="G21" i="58"/>
  <c r="G20" i="58"/>
  <c r="G18" i="58"/>
  <c r="G17" i="58"/>
  <c r="G16" i="58"/>
  <c r="G14" i="58"/>
  <c r="G13" i="58"/>
  <c r="G12" i="58"/>
  <c r="G10" i="58"/>
  <c r="G9" i="58"/>
  <c r="G7" i="58"/>
  <c r="G4" i="58"/>
  <c r="G3" i="58"/>
  <c r="E3" i="58" s="1"/>
  <c r="E4" i="58"/>
  <c r="G30" i="57" l="1"/>
  <c r="G29" i="57"/>
  <c r="G28" i="57"/>
  <c r="G27" i="57"/>
  <c r="G26" i="57"/>
  <c r="G25" i="57"/>
  <c r="G24" i="57"/>
  <c r="G23" i="57"/>
  <c r="G22" i="57"/>
  <c r="G21" i="57"/>
  <c r="G20" i="57"/>
  <c r="G18" i="57"/>
  <c r="G17" i="57"/>
  <c r="G16" i="57"/>
  <c r="G14" i="57"/>
  <c r="G13" i="57"/>
  <c r="G12" i="57"/>
  <c r="G10" i="57"/>
  <c r="G9" i="57"/>
  <c r="G7" i="57"/>
  <c r="G4" i="57"/>
  <c r="E4" i="57" s="1"/>
  <c r="G3" i="57"/>
  <c r="E3" i="57" s="1"/>
  <c r="G30" i="56" l="1"/>
  <c r="G29" i="56"/>
  <c r="G28" i="56"/>
  <c r="G27" i="56"/>
  <c r="G26" i="56"/>
  <c r="G25" i="56"/>
  <c r="G24" i="56"/>
  <c r="G23" i="56"/>
  <c r="G22" i="56"/>
  <c r="G21" i="56"/>
  <c r="G20" i="56"/>
  <c r="G18" i="56"/>
  <c r="G17" i="56"/>
  <c r="G16" i="56"/>
  <c r="G14" i="56"/>
  <c r="G13" i="56"/>
  <c r="G12" i="56"/>
  <c r="G10" i="56"/>
  <c r="G9" i="56"/>
  <c r="G7" i="56"/>
  <c r="G4" i="56"/>
  <c r="E4" i="56" s="1"/>
  <c r="G3" i="56"/>
  <c r="E3" i="56" s="1"/>
  <c r="G30" i="55" l="1"/>
  <c r="G29" i="55"/>
  <c r="G28" i="55"/>
  <c r="G27" i="55"/>
  <c r="G26" i="55"/>
  <c r="G25" i="55"/>
  <c r="G24" i="55"/>
  <c r="G23" i="55"/>
  <c r="G22" i="55"/>
  <c r="G21" i="55"/>
  <c r="G20" i="55"/>
  <c r="G18" i="55"/>
  <c r="G17" i="55"/>
  <c r="G16" i="55"/>
  <c r="G14" i="55"/>
  <c r="G13" i="55"/>
  <c r="G12" i="55"/>
  <c r="G10" i="55"/>
  <c r="G9" i="55"/>
  <c r="G7" i="55"/>
  <c r="G4" i="55"/>
  <c r="E4" i="55" s="1"/>
  <c r="G3" i="55"/>
  <c r="E3" i="55" s="1"/>
  <c r="G30" i="54" l="1"/>
  <c r="G29" i="54"/>
  <c r="G28" i="54"/>
  <c r="G27" i="54"/>
  <c r="G26" i="54"/>
  <c r="G25" i="54"/>
  <c r="G24" i="54"/>
  <c r="G23" i="54"/>
  <c r="G22" i="54"/>
  <c r="G21" i="54"/>
  <c r="G20" i="54"/>
  <c r="G18" i="54"/>
  <c r="G17" i="54"/>
  <c r="G16" i="54"/>
  <c r="G14" i="54"/>
  <c r="G13" i="54"/>
  <c r="G12" i="54"/>
  <c r="G10" i="54"/>
  <c r="G9" i="54"/>
  <c r="G7" i="54"/>
  <c r="G4" i="54"/>
  <c r="E4" i="54" s="1"/>
  <c r="G3" i="54"/>
  <c r="E3" i="54" s="1"/>
  <c r="G30" i="53" l="1"/>
  <c r="G29" i="53"/>
  <c r="G28" i="53"/>
  <c r="G27" i="53"/>
  <c r="G26" i="53"/>
  <c r="G25" i="53"/>
  <c r="G24" i="53"/>
  <c r="G23" i="53"/>
  <c r="G22" i="53"/>
  <c r="G21" i="53"/>
  <c r="G20" i="53"/>
  <c r="G18" i="53"/>
  <c r="G17" i="53"/>
  <c r="G16" i="53"/>
  <c r="G14" i="53"/>
  <c r="G13" i="53"/>
  <c r="G12" i="53"/>
  <c r="G10" i="53"/>
  <c r="G9" i="53"/>
  <c r="G7" i="53"/>
  <c r="G4" i="53"/>
  <c r="E4" i="53" s="1"/>
  <c r="G3" i="53"/>
  <c r="E3" i="53" s="1"/>
  <c r="G30" i="51" l="1"/>
  <c r="G29" i="51"/>
  <c r="G28" i="51"/>
  <c r="G27" i="51"/>
  <c r="G26" i="51"/>
  <c r="G25" i="51"/>
  <c r="G24" i="51"/>
  <c r="G23" i="51"/>
  <c r="G22" i="51"/>
  <c r="G21" i="51"/>
  <c r="G20" i="51"/>
  <c r="G18" i="51"/>
  <c r="G17" i="51"/>
  <c r="G16" i="51"/>
  <c r="G14" i="51"/>
  <c r="G13" i="51"/>
  <c r="G12" i="51"/>
  <c r="G10" i="51"/>
  <c r="G9" i="51"/>
  <c r="G7" i="51"/>
  <c r="G4" i="51"/>
  <c r="E4" i="51" s="1"/>
  <c r="G3" i="51"/>
  <c r="E3" i="51" s="1"/>
  <c r="G30" i="50" l="1"/>
  <c r="G29" i="50"/>
  <c r="G28" i="50"/>
  <c r="G27" i="50"/>
  <c r="G26" i="50"/>
  <c r="G25" i="50"/>
  <c r="G24" i="50"/>
  <c r="G23" i="50"/>
  <c r="G22" i="50"/>
  <c r="G21" i="50"/>
  <c r="G20" i="50"/>
  <c r="G18" i="50"/>
  <c r="G17" i="50"/>
  <c r="G16" i="50"/>
  <c r="G14" i="50"/>
  <c r="G13" i="50"/>
  <c r="G12" i="50"/>
  <c r="G10" i="50"/>
  <c r="G9" i="50"/>
  <c r="G7" i="50"/>
  <c r="G4" i="50"/>
  <c r="E4" i="50" s="1"/>
  <c r="G3" i="50"/>
  <c r="E3" i="50" s="1"/>
  <c r="G30" i="49" l="1"/>
  <c r="G29" i="49"/>
  <c r="G28" i="49"/>
  <c r="G27" i="49"/>
  <c r="G26" i="49"/>
  <c r="G25" i="49"/>
  <c r="G24" i="49"/>
  <c r="G23" i="49"/>
  <c r="G22" i="49"/>
  <c r="G21" i="49"/>
  <c r="G20" i="49"/>
  <c r="G18" i="49"/>
  <c r="G17" i="49"/>
  <c r="G16" i="49"/>
  <c r="G14" i="49"/>
  <c r="G13" i="49"/>
  <c r="G12" i="49"/>
  <c r="G10" i="49"/>
  <c r="G9" i="49"/>
  <c r="G7" i="49"/>
  <c r="G4" i="49"/>
  <c r="E4" i="49" s="1"/>
  <c r="G3" i="49"/>
  <c r="E3" i="49" s="1"/>
  <c r="G30" i="48" l="1"/>
  <c r="G29" i="48"/>
  <c r="G28" i="48"/>
  <c r="G27" i="48"/>
  <c r="G26" i="48"/>
  <c r="G25" i="48"/>
  <c r="G24" i="48"/>
  <c r="G23" i="48"/>
  <c r="G22" i="48"/>
  <c r="G21" i="48"/>
  <c r="G20" i="48"/>
  <c r="G18" i="48"/>
  <c r="G17" i="48"/>
  <c r="G16" i="48"/>
  <c r="G14" i="48"/>
  <c r="G13" i="48"/>
  <c r="G12" i="48"/>
  <c r="G10" i="48"/>
  <c r="G9" i="48"/>
  <c r="G7" i="48"/>
  <c r="G4" i="48"/>
  <c r="E4" i="48" s="1"/>
  <c r="G3" i="48"/>
  <c r="E3" i="48" s="1"/>
  <c r="G30" i="47" l="1"/>
  <c r="G29" i="47"/>
  <c r="G28" i="47"/>
  <c r="G27" i="47"/>
  <c r="G26" i="47"/>
  <c r="G25" i="47"/>
  <c r="G24" i="47"/>
  <c r="G23" i="47"/>
  <c r="G22" i="47"/>
  <c r="G21" i="47"/>
  <c r="G20" i="47"/>
  <c r="G18" i="47"/>
  <c r="G17" i="47"/>
  <c r="G16" i="47"/>
  <c r="G14" i="47"/>
  <c r="G13" i="47"/>
  <c r="G12" i="47"/>
  <c r="G10" i="47"/>
  <c r="G9" i="47"/>
  <c r="G7" i="47"/>
  <c r="G4" i="47"/>
  <c r="E4" i="47" s="1"/>
  <c r="G3" i="47"/>
  <c r="E3" i="47" s="1"/>
  <c r="G30" i="45" l="1"/>
  <c r="G29" i="45"/>
  <c r="G28" i="45"/>
  <c r="G27" i="45"/>
  <c r="G26" i="45"/>
  <c r="G25" i="45"/>
  <c r="G24" i="45"/>
  <c r="G23" i="45"/>
  <c r="G22" i="45"/>
  <c r="G21" i="45"/>
  <c r="G20" i="45"/>
  <c r="G18" i="45"/>
  <c r="G17" i="45"/>
  <c r="G16" i="45"/>
  <c r="G14" i="45"/>
  <c r="G13" i="45"/>
  <c r="G12" i="45"/>
  <c r="G10" i="45"/>
  <c r="G9" i="45"/>
  <c r="G7" i="45"/>
  <c r="G4" i="45"/>
  <c r="E4" i="45" s="1"/>
  <c r="G3" i="45"/>
  <c r="E3" i="45" s="1"/>
  <c r="G30" i="44" l="1"/>
  <c r="G29" i="44"/>
  <c r="G28" i="44"/>
  <c r="G27" i="44"/>
  <c r="G26" i="44"/>
  <c r="G25" i="44"/>
  <c r="G24" i="44"/>
  <c r="G23" i="44"/>
  <c r="G22" i="44"/>
  <c r="G21" i="44"/>
  <c r="G20" i="44"/>
  <c r="G18" i="44"/>
  <c r="G17" i="44"/>
  <c r="G16" i="44"/>
  <c r="G14" i="44"/>
  <c r="G13" i="44"/>
  <c r="G12" i="44"/>
  <c r="G10" i="44"/>
  <c r="G9" i="44"/>
  <c r="G7" i="44"/>
  <c r="G4" i="44"/>
  <c r="E4" i="44" s="1"/>
  <c r="G3" i="44"/>
  <c r="E3" i="44" s="1"/>
  <c r="G30" i="43" l="1"/>
  <c r="G29" i="43"/>
  <c r="G28" i="43"/>
  <c r="G27" i="43"/>
  <c r="G26" i="43"/>
  <c r="G25" i="43"/>
  <c r="G24" i="43"/>
  <c r="G23" i="43"/>
  <c r="G22" i="43"/>
  <c r="G21" i="43"/>
  <c r="G20" i="43"/>
  <c r="G18" i="43"/>
  <c r="G17" i="43"/>
  <c r="G16" i="43"/>
  <c r="G14" i="43"/>
  <c r="G13" i="43"/>
  <c r="G12" i="43"/>
  <c r="G10" i="43"/>
  <c r="G9" i="43"/>
  <c r="G7" i="43"/>
  <c r="G4" i="43"/>
  <c r="E4" i="43" s="1"/>
  <c r="G3" i="43"/>
  <c r="E3" i="43" s="1"/>
  <c r="G30" i="42" l="1"/>
  <c r="G29" i="42"/>
  <c r="G28" i="42"/>
  <c r="G27" i="42"/>
  <c r="G26" i="42"/>
  <c r="G25" i="42"/>
  <c r="G24" i="42"/>
  <c r="G23" i="42"/>
  <c r="G22" i="42"/>
  <c r="G21" i="42"/>
  <c r="G20" i="42"/>
  <c r="G18" i="42"/>
  <c r="G17" i="42"/>
  <c r="G16" i="42"/>
  <c r="G14" i="42"/>
  <c r="G13" i="42"/>
  <c r="G12" i="42"/>
  <c r="G10" i="42"/>
  <c r="G9" i="42"/>
  <c r="G7" i="42"/>
  <c r="G4" i="42"/>
  <c r="E4" i="42" s="1"/>
  <c r="G3" i="42"/>
  <c r="E3" i="42" s="1"/>
  <c r="G4" i="41" l="1"/>
  <c r="E4" i="41" s="1"/>
  <c r="G3" i="41"/>
  <c r="E3" i="41" s="1"/>
  <c r="G30" i="41" l="1"/>
  <c r="G29" i="41"/>
  <c r="G28" i="41"/>
  <c r="G27" i="41"/>
  <c r="G26" i="41"/>
  <c r="G25" i="41"/>
  <c r="G24" i="41"/>
  <c r="G23" i="41"/>
  <c r="G22" i="41"/>
  <c r="G21" i="41"/>
  <c r="G20" i="41"/>
  <c r="G18" i="41"/>
  <c r="G17" i="41"/>
  <c r="G16" i="41"/>
  <c r="G14" i="41"/>
  <c r="G13" i="41"/>
  <c r="G12" i="41"/>
  <c r="G10" i="41"/>
  <c r="G9" i="41"/>
  <c r="G7" i="41"/>
  <c r="G4" i="40" l="1"/>
  <c r="E4" i="40" s="1"/>
  <c r="G3" i="40"/>
  <c r="E3" i="40" s="1"/>
  <c r="G30" i="40" l="1"/>
  <c r="G29" i="40"/>
  <c r="G28" i="40"/>
  <c r="G27" i="40"/>
  <c r="G26" i="40"/>
  <c r="G25" i="40"/>
  <c r="G24" i="40"/>
  <c r="G23" i="40"/>
  <c r="G22" i="40"/>
  <c r="G21" i="40"/>
  <c r="G20" i="40"/>
  <c r="G18" i="40"/>
  <c r="G17" i="40"/>
  <c r="G16" i="40"/>
  <c r="G14" i="40"/>
  <c r="G13" i="40"/>
  <c r="G12" i="40"/>
  <c r="G10" i="40"/>
  <c r="G9" i="40"/>
  <c r="G7" i="40"/>
  <c r="G30" i="39" l="1"/>
  <c r="G29" i="39"/>
  <c r="G28" i="39"/>
  <c r="G27" i="39"/>
  <c r="G26" i="39"/>
  <c r="G25" i="39"/>
  <c r="G24" i="39"/>
  <c r="G23" i="39"/>
  <c r="G22" i="39"/>
  <c r="G21" i="39"/>
  <c r="G20" i="39"/>
  <c r="G18" i="39"/>
  <c r="G17" i="39"/>
  <c r="G16" i="39"/>
  <c r="G14" i="39"/>
  <c r="G13" i="39"/>
  <c r="G12" i="39"/>
  <c r="G10" i="39"/>
  <c r="G9" i="39"/>
  <c r="G7" i="39"/>
  <c r="G4" i="39"/>
  <c r="E4" i="39" s="1"/>
  <c r="G3" i="39"/>
  <c r="E3" i="39" s="1"/>
  <c r="G30" i="38" l="1"/>
  <c r="G29" i="38"/>
  <c r="G28" i="38"/>
  <c r="G27" i="38"/>
  <c r="G26" i="38"/>
  <c r="G25" i="38"/>
  <c r="G24" i="38"/>
  <c r="G23" i="38"/>
  <c r="G22" i="38"/>
  <c r="G21" i="38"/>
  <c r="G20" i="38"/>
  <c r="G18" i="38"/>
  <c r="G17" i="38"/>
  <c r="G16" i="38"/>
  <c r="G14" i="38"/>
  <c r="G13" i="38"/>
  <c r="G12" i="38"/>
  <c r="G10" i="38"/>
  <c r="G9" i="38"/>
  <c r="G7" i="38"/>
  <c r="G4" i="38"/>
  <c r="E4" i="38" s="1"/>
  <c r="G3" i="38"/>
  <c r="E3" i="38" s="1"/>
  <c r="G30" i="37" l="1"/>
  <c r="G29" i="37"/>
  <c r="G28" i="37"/>
  <c r="G27" i="37"/>
  <c r="G26" i="37"/>
  <c r="G25" i="37"/>
  <c r="G24" i="37"/>
  <c r="G23" i="37"/>
  <c r="G22" i="37"/>
  <c r="G21" i="37"/>
  <c r="G20" i="37"/>
  <c r="G18" i="37"/>
  <c r="G17" i="37"/>
  <c r="G16" i="37"/>
  <c r="G14" i="37"/>
  <c r="G13" i="37"/>
  <c r="G12" i="37"/>
  <c r="G10" i="37"/>
  <c r="G9" i="37"/>
  <c r="G7" i="37"/>
  <c r="G4" i="37"/>
  <c r="E4" i="37" s="1"/>
  <c r="G3" i="37"/>
  <c r="E3" i="37" s="1"/>
  <c r="G30" i="36" l="1"/>
  <c r="G29" i="36"/>
  <c r="G28" i="36"/>
  <c r="G27" i="36"/>
  <c r="G26" i="36"/>
  <c r="G25" i="36"/>
  <c r="G24" i="36"/>
  <c r="G23" i="36"/>
  <c r="G22" i="36"/>
  <c r="G21" i="36"/>
  <c r="G20" i="36"/>
  <c r="G18" i="36"/>
  <c r="G17" i="36"/>
  <c r="G16" i="36"/>
  <c r="G14" i="36"/>
  <c r="G13" i="36"/>
  <c r="G12" i="36"/>
  <c r="G10" i="36"/>
  <c r="G9" i="36"/>
  <c r="G7" i="36"/>
  <c r="G4" i="36"/>
  <c r="E4" i="36" s="1"/>
  <c r="G3" i="36"/>
  <c r="E3" i="36" s="1"/>
  <c r="G30" i="35" l="1"/>
  <c r="G29" i="35"/>
  <c r="G28" i="35"/>
  <c r="G27" i="35"/>
  <c r="G26" i="35"/>
  <c r="G25" i="35"/>
  <c r="G24" i="35"/>
  <c r="G23" i="35"/>
  <c r="G22" i="35"/>
  <c r="G21" i="35"/>
  <c r="G20" i="35"/>
  <c r="G18" i="35"/>
  <c r="G17" i="35"/>
  <c r="G16" i="35"/>
  <c r="G14" i="35"/>
  <c r="G13" i="35"/>
  <c r="G12" i="35"/>
  <c r="G10" i="35"/>
  <c r="G9" i="35"/>
  <c r="G7" i="35"/>
  <c r="G4" i="35"/>
  <c r="E4" i="35" s="1"/>
  <c r="G3" i="35"/>
  <c r="E3" i="35" s="1"/>
  <c r="G30" i="34" l="1"/>
  <c r="G29" i="34"/>
  <c r="G28" i="34"/>
  <c r="G27" i="34"/>
  <c r="G26" i="34"/>
  <c r="G25" i="34"/>
  <c r="G24" i="34"/>
  <c r="G23" i="34"/>
  <c r="G22" i="34"/>
  <c r="G21" i="34"/>
  <c r="G20" i="34"/>
  <c r="G18" i="34"/>
  <c r="G17" i="34"/>
  <c r="G16" i="34"/>
  <c r="G14" i="34"/>
  <c r="G13" i="34"/>
  <c r="G12" i="34"/>
  <c r="G10" i="34"/>
  <c r="G9" i="34"/>
  <c r="G7" i="34"/>
  <c r="G4" i="34"/>
  <c r="E4" i="34" s="1"/>
  <c r="G3" i="34"/>
  <c r="E3" i="34" s="1"/>
  <c r="G30" i="33" l="1"/>
  <c r="G29" i="33"/>
  <c r="G28" i="33"/>
  <c r="G27" i="33"/>
  <c r="G26" i="33"/>
  <c r="G25" i="33"/>
  <c r="G24" i="33"/>
  <c r="G23" i="33"/>
  <c r="G22" i="33"/>
  <c r="G21" i="33"/>
  <c r="G20" i="33"/>
  <c r="G18" i="33"/>
  <c r="G17" i="33"/>
  <c r="G16" i="33"/>
  <c r="G14" i="33"/>
  <c r="G13" i="33"/>
  <c r="G12" i="33"/>
  <c r="G10" i="33"/>
  <c r="G9" i="33"/>
  <c r="G7" i="33"/>
  <c r="G4" i="33"/>
  <c r="E4" i="33" s="1"/>
  <c r="G3" i="33"/>
  <c r="E3" i="33" s="1"/>
  <c r="G30" i="32" l="1"/>
  <c r="G29" i="32"/>
  <c r="G28" i="32"/>
  <c r="G27" i="32"/>
  <c r="G26" i="32"/>
  <c r="G25" i="32"/>
  <c r="G24" i="32"/>
  <c r="G23" i="32"/>
  <c r="G22" i="32"/>
  <c r="G21" i="32"/>
  <c r="G20" i="32"/>
  <c r="G18" i="32"/>
  <c r="G17" i="32"/>
  <c r="G16" i="32"/>
  <c r="G14" i="32"/>
  <c r="G13" i="32"/>
  <c r="G12" i="32"/>
  <c r="G10" i="32"/>
  <c r="G9" i="32"/>
  <c r="G7" i="32"/>
  <c r="G4" i="32"/>
  <c r="G3" i="32"/>
  <c r="E4" i="32"/>
  <c r="E3" i="32"/>
  <c r="G3" i="30" l="1"/>
  <c r="E3" i="30" s="1"/>
  <c r="G4" i="30"/>
  <c r="E4" i="30" s="1"/>
  <c r="G30" i="30"/>
  <c r="G29" i="30"/>
  <c r="G28" i="30"/>
  <c r="G27" i="30"/>
  <c r="G26" i="30"/>
  <c r="G25" i="30"/>
  <c r="G24" i="30"/>
  <c r="G23" i="30"/>
  <c r="G22" i="30"/>
  <c r="G21" i="30"/>
  <c r="G20" i="30"/>
  <c r="G18" i="30"/>
  <c r="G17" i="30"/>
  <c r="G16" i="30"/>
  <c r="G14" i="30"/>
  <c r="G13" i="30"/>
  <c r="G12" i="30"/>
  <c r="G10" i="30"/>
  <c r="G9" i="30"/>
  <c r="G7" i="30"/>
  <c r="G4" i="29" l="1"/>
  <c r="G3" i="29"/>
  <c r="G30" i="29"/>
  <c r="G29" i="29"/>
  <c r="G28" i="29"/>
  <c r="G27" i="29"/>
  <c r="G26" i="29"/>
  <c r="G25" i="29"/>
  <c r="G24" i="29"/>
  <c r="G23" i="29"/>
  <c r="G22" i="29"/>
  <c r="G21" i="29"/>
  <c r="G20" i="29"/>
  <c r="G18" i="29"/>
  <c r="G17" i="29"/>
  <c r="G16" i="29"/>
  <c r="G14" i="29"/>
  <c r="G13" i="29"/>
  <c r="G12" i="29"/>
  <c r="G10" i="29"/>
  <c r="G9" i="29"/>
  <c r="G7" i="29"/>
  <c r="G3" i="28"/>
  <c r="G4" i="28"/>
  <c r="G7" i="28"/>
  <c r="G9" i="28"/>
  <c r="G10" i="28"/>
  <c r="G12" i="28"/>
  <c r="G13" i="28"/>
  <c r="G14" i="28"/>
  <c r="G16" i="28"/>
  <c r="G17" i="28"/>
  <c r="G18" i="28"/>
  <c r="G20" i="28"/>
  <c r="G21" i="28"/>
  <c r="G22" i="28"/>
  <c r="G23" i="28"/>
  <c r="G24" i="28"/>
  <c r="G25" i="28"/>
  <c r="G26" i="28"/>
  <c r="G27" i="28"/>
  <c r="G28" i="28"/>
  <c r="G29" i="28"/>
  <c r="G30" i="28"/>
  <c r="E4" i="28" l="1"/>
  <c r="E3" i="28"/>
  <c r="C4" i="27" l="1"/>
  <c r="G4" i="27" s="1"/>
  <c r="E4" i="27" s="1"/>
  <c r="C3" i="27"/>
  <c r="G3" i="27" s="1"/>
  <c r="E3" i="27" s="1"/>
  <c r="G30" i="27"/>
  <c r="G29" i="27"/>
  <c r="G28" i="27"/>
  <c r="G27" i="27"/>
  <c r="G26" i="27"/>
  <c r="G25" i="27"/>
  <c r="G24" i="27"/>
  <c r="G23" i="27"/>
  <c r="G22" i="27"/>
  <c r="G21" i="27"/>
  <c r="G20" i="27"/>
  <c r="G18" i="27"/>
  <c r="G17" i="27"/>
  <c r="G16" i="27"/>
  <c r="G14" i="27"/>
  <c r="G13" i="27"/>
  <c r="G12" i="27"/>
  <c r="G10" i="27"/>
  <c r="G9" i="27"/>
  <c r="G7" i="27"/>
  <c r="C4" i="26" l="1"/>
  <c r="G4" i="26" s="1"/>
  <c r="C3" i="26"/>
  <c r="G3" i="26" s="1"/>
  <c r="G30" i="26"/>
  <c r="G29" i="26"/>
  <c r="G28" i="26"/>
  <c r="G27" i="26"/>
  <c r="G26" i="26"/>
  <c r="G25" i="26"/>
  <c r="G24" i="26"/>
  <c r="G23" i="26"/>
  <c r="G22" i="26"/>
  <c r="G21" i="26"/>
  <c r="G20" i="26"/>
  <c r="G18" i="26"/>
  <c r="G17" i="26"/>
  <c r="G16" i="26"/>
  <c r="G14" i="26"/>
  <c r="G13" i="26"/>
  <c r="G12" i="26"/>
  <c r="G10" i="26"/>
  <c r="G9" i="26"/>
  <c r="G7" i="26"/>
  <c r="G3" i="25" l="1"/>
  <c r="G4" i="25"/>
  <c r="E3" i="25"/>
  <c r="E4" i="25"/>
  <c r="G30" i="25" l="1"/>
  <c r="G29" i="25"/>
  <c r="G28" i="25"/>
  <c r="G27" i="25"/>
  <c r="G26" i="25"/>
  <c r="G25" i="25"/>
  <c r="G24" i="25"/>
  <c r="G23" i="25"/>
  <c r="G22" i="25"/>
  <c r="G21" i="25"/>
  <c r="G20" i="25"/>
  <c r="G18" i="25"/>
  <c r="G17" i="25"/>
  <c r="G16" i="25"/>
  <c r="G14" i="25"/>
  <c r="G13" i="25"/>
  <c r="G12" i="25"/>
  <c r="G10" i="25"/>
  <c r="G9" i="25"/>
  <c r="G7" i="25"/>
  <c r="G30" i="24" l="1"/>
  <c r="G29" i="24"/>
  <c r="G28" i="24"/>
  <c r="G27" i="24"/>
  <c r="G26" i="24"/>
  <c r="G25" i="24"/>
  <c r="G24" i="24"/>
  <c r="G23" i="24"/>
  <c r="G22" i="24"/>
  <c r="G21" i="24"/>
  <c r="G20" i="24"/>
  <c r="G18" i="24"/>
  <c r="G17" i="24"/>
  <c r="G16" i="24"/>
  <c r="G14" i="24"/>
  <c r="G13" i="24"/>
  <c r="G12" i="24"/>
  <c r="G10" i="24"/>
  <c r="G9" i="24"/>
  <c r="G7" i="24"/>
  <c r="G30" i="23" l="1"/>
  <c r="G29" i="23"/>
  <c r="G28" i="23"/>
  <c r="G27" i="23"/>
  <c r="G26" i="23"/>
  <c r="G25" i="23"/>
  <c r="G24" i="23"/>
  <c r="G23" i="23"/>
  <c r="G22" i="23"/>
  <c r="G21" i="23"/>
  <c r="G20" i="23"/>
  <c r="G18" i="23"/>
  <c r="G17" i="23"/>
  <c r="G16" i="23"/>
  <c r="G14" i="23"/>
  <c r="G13" i="23"/>
  <c r="G12" i="23"/>
  <c r="G10" i="23"/>
  <c r="G9" i="23"/>
  <c r="G7" i="23"/>
  <c r="G30" i="22" l="1"/>
  <c r="G29" i="22"/>
  <c r="G28" i="22"/>
  <c r="G27" i="22"/>
  <c r="G26" i="22"/>
  <c r="G25" i="22"/>
  <c r="G24" i="22"/>
  <c r="G23" i="22"/>
  <c r="G22" i="22"/>
  <c r="G21" i="22"/>
  <c r="G20" i="22"/>
  <c r="G18" i="22"/>
  <c r="G17" i="22"/>
  <c r="G16" i="22"/>
  <c r="G14" i="22"/>
  <c r="G13" i="22"/>
  <c r="G12" i="22"/>
  <c r="G10" i="22"/>
  <c r="G9" i="22"/>
  <c r="G7" i="22"/>
  <c r="G7" i="21"/>
  <c r="G9" i="21"/>
  <c r="G10" i="21"/>
  <c r="G12" i="21"/>
  <c r="G13" i="21"/>
  <c r="G14" i="21"/>
  <c r="G16" i="21"/>
  <c r="G17" i="21"/>
  <c r="G18" i="21"/>
  <c r="G20" i="21"/>
  <c r="G21" i="21"/>
  <c r="G22" i="21"/>
  <c r="G23" i="21"/>
  <c r="G24" i="21"/>
  <c r="G25" i="21"/>
  <c r="G26" i="21"/>
  <c r="G27" i="21"/>
  <c r="G28" i="21"/>
  <c r="G29" i="21"/>
  <c r="G30" i="21"/>
  <c r="G30" i="20" l="1"/>
  <c r="G29" i="20"/>
  <c r="G28" i="20"/>
  <c r="G27" i="20"/>
  <c r="G26" i="20"/>
  <c r="G25" i="20"/>
  <c r="G24" i="20"/>
  <c r="G23" i="20"/>
  <c r="G22" i="20"/>
  <c r="G21" i="20"/>
  <c r="G20" i="20"/>
  <c r="G18" i="20"/>
  <c r="G17" i="20"/>
  <c r="G16" i="20"/>
  <c r="G14" i="20"/>
  <c r="G13" i="20"/>
  <c r="G12" i="20"/>
  <c r="G10" i="20"/>
  <c r="G9" i="20"/>
  <c r="G7" i="20"/>
  <c r="G7" i="19"/>
  <c r="G9" i="19"/>
  <c r="G10" i="19"/>
  <c r="G12" i="19"/>
  <c r="G13" i="19"/>
  <c r="G14" i="19"/>
  <c r="G16" i="19"/>
  <c r="G17" i="19"/>
  <c r="G18" i="19"/>
  <c r="G20" i="19"/>
  <c r="G21" i="19"/>
  <c r="G22" i="19"/>
  <c r="G23" i="19"/>
  <c r="G24" i="19"/>
  <c r="G25" i="19"/>
  <c r="G26" i="19"/>
  <c r="G27" i="19"/>
  <c r="G28" i="19"/>
  <c r="G29" i="19"/>
  <c r="G30" i="19"/>
  <c r="G30" i="18" l="1"/>
  <c r="G29" i="18"/>
  <c r="G28" i="18"/>
  <c r="G27" i="18"/>
  <c r="G26" i="18"/>
  <c r="G25" i="18"/>
  <c r="G24" i="18"/>
  <c r="G23" i="18"/>
  <c r="G22" i="18"/>
  <c r="G21" i="18"/>
  <c r="G20" i="18"/>
  <c r="G18" i="18"/>
  <c r="G17" i="18"/>
  <c r="G16" i="18"/>
  <c r="G14" i="18"/>
  <c r="G13" i="18"/>
  <c r="G12" i="18"/>
  <c r="G10" i="18"/>
  <c r="G9" i="18"/>
  <c r="G7" i="18"/>
  <c r="G30" i="17" l="1"/>
  <c r="G29" i="17"/>
  <c r="G28" i="17"/>
  <c r="G27" i="17"/>
  <c r="G26" i="17"/>
  <c r="G25" i="17"/>
  <c r="G24" i="17"/>
  <c r="G23" i="17"/>
  <c r="G22" i="17"/>
  <c r="G21" i="17"/>
  <c r="G20" i="17"/>
  <c r="G18" i="17"/>
  <c r="G17" i="17"/>
  <c r="G16" i="17"/>
  <c r="G14" i="17"/>
  <c r="G13" i="17"/>
  <c r="G12" i="17"/>
  <c r="G10" i="17"/>
  <c r="G9" i="17"/>
  <c r="G7" i="17"/>
  <c r="G30" i="16" l="1"/>
  <c r="G29" i="16"/>
  <c r="G28" i="16"/>
  <c r="G27" i="16"/>
  <c r="G26" i="16"/>
  <c r="G25" i="16"/>
  <c r="G24" i="16"/>
  <c r="G23" i="16"/>
  <c r="G22" i="16"/>
  <c r="G21" i="16"/>
  <c r="G20" i="16"/>
  <c r="G18" i="16"/>
  <c r="G17" i="16"/>
  <c r="G16" i="16"/>
  <c r="G14" i="16"/>
  <c r="G13" i="16"/>
  <c r="G12" i="16"/>
  <c r="G10" i="16"/>
  <c r="G9" i="16"/>
  <c r="G7" i="16"/>
  <c r="G30" i="15" l="1"/>
  <c r="G29" i="15"/>
  <c r="G28" i="15"/>
  <c r="G27" i="15"/>
  <c r="G26" i="15"/>
  <c r="G25" i="15"/>
  <c r="G24" i="15"/>
  <c r="G23" i="15"/>
  <c r="G22" i="15"/>
  <c r="G21" i="15"/>
  <c r="G20" i="15"/>
  <c r="G18" i="15"/>
  <c r="G17" i="15"/>
  <c r="G16" i="15"/>
  <c r="G14" i="15"/>
  <c r="G13" i="15"/>
  <c r="G12" i="15"/>
  <c r="G10" i="15"/>
  <c r="G9" i="15"/>
  <c r="G7" i="15"/>
  <c r="G7" i="14"/>
  <c r="G9" i="14"/>
  <c r="G10" i="14"/>
  <c r="G12" i="14"/>
  <c r="G13" i="14"/>
  <c r="G14" i="14"/>
  <c r="G16" i="14"/>
  <c r="G17" i="14"/>
  <c r="G18" i="14"/>
  <c r="G20" i="14"/>
  <c r="G21" i="14"/>
  <c r="G22" i="14"/>
  <c r="G23" i="14"/>
  <c r="G24" i="14"/>
  <c r="G25" i="14"/>
  <c r="G26" i="14"/>
  <c r="G27" i="14"/>
  <c r="G28" i="14"/>
  <c r="G29" i="14"/>
  <c r="G30" i="14"/>
  <c r="G30" i="13" l="1"/>
  <c r="G29" i="13"/>
  <c r="G28" i="13"/>
  <c r="G27" i="13"/>
  <c r="G26" i="13"/>
  <c r="G25" i="13"/>
  <c r="G24" i="13"/>
  <c r="G23" i="13"/>
  <c r="G22" i="13"/>
  <c r="G21" i="13"/>
  <c r="G20" i="13"/>
  <c r="G18" i="13"/>
  <c r="G17" i="13"/>
  <c r="G16" i="13"/>
  <c r="G14" i="13"/>
  <c r="G13" i="13"/>
  <c r="G12" i="13"/>
  <c r="G10" i="13"/>
  <c r="G9" i="13"/>
  <c r="G7" i="13"/>
  <c r="G30" i="12" l="1"/>
  <c r="G29" i="12"/>
  <c r="G28" i="12"/>
  <c r="G27" i="12"/>
  <c r="G26" i="12"/>
  <c r="G25" i="12"/>
  <c r="G24" i="12"/>
  <c r="G23" i="12"/>
  <c r="G22" i="12"/>
  <c r="G21" i="12"/>
  <c r="G20" i="12"/>
  <c r="G18" i="12"/>
  <c r="G17" i="12"/>
  <c r="G16" i="12"/>
  <c r="G14" i="12"/>
  <c r="G13" i="12"/>
  <c r="G12" i="12"/>
  <c r="G10" i="12"/>
  <c r="G9" i="12"/>
  <c r="G7" i="12"/>
  <c r="G30" i="11" l="1"/>
  <c r="G29" i="11"/>
  <c r="G28" i="11"/>
  <c r="G27" i="11"/>
  <c r="G26" i="11"/>
  <c r="G25" i="11"/>
  <c r="G24" i="11"/>
  <c r="G23" i="11"/>
  <c r="G22" i="11"/>
  <c r="G21" i="11"/>
  <c r="G20" i="11"/>
  <c r="G18" i="11"/>
  <c r="G17" i="11"/>
  <c r="G16" i="11"/>
  <c r="G14" i="11"/>
  <c r="G13" i="11"/>
  <c r="G12" i="11"/>
  <c r="G10" i="11"/>
  <c r="G9" i="11"/>
  <c r="G7" i="11"/>
  <c r="G30" i="10" l="1"/>
  <c r="G29" i="10"/>
  <c r="G28" i="10"/>
  <c r="G27" i="10"/>
  <c r="G26" i="10"/>
  <c r="G25" i="10"/>
  <c r="G24" i="10"/>
  <c r="G23" i="10"/>
  <c r="G22" i="10"/>
  <c r="G21" i="10"/>
  <c r="G20" i="10"/>
  <c r="G18" i="10"/>
  <c r="G17" i="10"/>
  <c r="G16" i="10"/>
  <c r="G14" i="10"/>
  <c r="G13" i="10"/>
  <c r="G12" i="10"/>
  <c r="G10" i="10"/>
  <c r="G9" i="10"/>
  <c r="G7" i="10"/>
  <c r="G30" i="9" l="1"/>
  <c r="G29" i="9"/>
  <c r="G28" i="9"/>
  <c r="G27" i="9"/>
  <c r="G26" i="9"/>
  <c r="G25" i="9"/>
  <c r="G24" i="9"/>
  <c r="G23" i="9"/>
  <c r="G22" i="9"/>
  <c r="G21" i="9"/>
  <c r="G20" i="9"/>
  <c r="G18" i="9"/>
  <c r="G17" i="9"/>
  <c r="G16" i="9"/>
  <c r="G14" i="9"/>
  <c r="G13" i="9"/>
  <c r="G12" i="9"/>
  <c r="G10" i="9"/>
  <c r="G9" i="9"/>
  <c r="G7" i="9"/>
  <c r="G30" i="8" l="1"/>
  <c r="G29" i="8"/>
  <c r="G28" i="8"/>
  <c r="G27" i="8"/>
  <c r="G26" i="8"/>
  <c r="G25" i="8"/>
  <c r="G24" i="8"/>
  <c r="G23" i="8"/>
  <c r="G22" i="8"/>
  <c r="G21" i="8"/>
  <c r="G20" i="8"/>
  <c r="G18" i="8"/>
  <c r="G17" i="8"/>
  <c r="G16" i="8"/>
  <c r="G14" i="8"/>
  <c r="G13" i="8"/>
  <c r="G12" i="8"/>
  <c r="G10" i="8"/>
  <c r="G9" i="8"/>
  <c r="G7" i="8"/>
  <c r="G30" i="7"/>
  <c r="G29" i="7"/>
  <c r="G28" i="7"/>
  <c r="G27" i="7"/>
  <c r="G26" i="7"/>
  <c r="G25" i="7"/>
  <c r="G24" i="7"/>
  <c r="G23" i="7"/>
  <c r="G22" i="7"/>
  <c r="G21" i="7"/>
  <c r="G20" i="7"/>
  <c r="G18" i="7"/>
  <c r="G17" i="7"/>
  <c r="G16" i="7"/>
  <c r="G14" i="7"/>
  <c r="G13" i="7"/>
  <c r="G12" i="7"/>
  <c r="G10" i="7"/>
  <c r="G9" i="7"/>
  <c r="G7" i="7"/>
  <c r="G9" i="6" l="1"/>
  <c r="G10" i="6"/>
  <c r="G12" i="6"/>
  <c r="G13" i="6"/>
  <c r="G14" i="6"/>
  <c r="G16" i="6"/>
  <c r="G17" i="6"/>
  <c r="G18" i="6"/>
  <c r="G20" i="6"/>
  <c r="G21" i="6"/>
  <c r="G22" i="6"/>
  <c r="G23" i="6"/>
  <c r="G24" i="6"/>
  <c r="G25" i="6"/>
  <c r="G26" i="6"/>
  <c r="G27" i="6"/>
  <c r="G28" i="6"/>
  <c r="G29" i="6"/>
  <c r="G30" i="6"/>
  <c r="G7" i="6"/>
  <c r="G9" i="1" l="1"/>
  <c r="G10" i="1"/>
  <c r="G12" i="1"/>
  <c r="G13" i="1"/>
  <c r="G14" i="1"/>
  <c r="G16" i="1"/>
  <c r="G17" i="1"/>
  <c r="G18" i="1"/>
  <c r="G20" i="1"/>
  <c r="G21" i="1"/>
  <c r="G22" i="1"/>
  <c r="G23" i="1"/>
  <c r="G24" i="1"/>
  <c r="G25" i="1"/>
  <c r="G26" i="1"/>
  <c r="G27" i="1"/>
  <c r="G28" i="1"/>
  <c r="G29" i="1"/>
  <c r="G30" i="1"/>
  <c r="G7" i="1"/>
  <c r="G9" i="2"/>
  <c r="G10" i="2"/>
  <c r="G12" i="2"/>
  <c r="G13" i="2"/>
  <c r="G14" i="2"/>
  <c r="G16" i="2"/>
  <c r="G17" i="2"/>
  <c r="G18" i="2"/>
  <c r="G20" i="2"/>
  <c r="G21" i="2"/>
  <c r="G22" i="2"/>
  <c r="G23" i="2"/>
  <c r="G24" i="2"/>
  <c r="G25" i="2"/>
  <c r="G26" i="2"/>
  <c r="G27" i="2"/>
  <c r="G28" i="2"/>
  <c r="G29" i="2"/>
  <c r="G30" i="2"/>
  <c r="G7" i="2"/>
  <c r="G9" i="3"/>
  <c r="G10" i="3"/>
  <c r="G12" i="3"/>
  <c r="G13" i="3"/>
  <c r="G14" i="3"/>
  <c r="G16" i="3"/>
  <c r="G17" i="3"/>
  <c r="G18" i="3"/>
  <c r="G20" i="3"/>
  <c r="G21" i="3"/>
  <c r="G22" i="3"/>
  <c r="G23" i="3"/>
  <c r="G24" i="3"/>
  <c r="G25" i="3"/>
  <c r="G26" i="3"/>
  <c r="G27" i="3"/>
  <c r="G28" i="3"/>
  <c r="G29" i="3"/>
  <c r="G30" i="3"/>
  <c r="G7" i="3"/>
  <c r="G9" i="4"/>
  <c r="G10" i="4"/>
  <c r="G12" i="4"/>
  <c r="G13" i="4"/>
  <c r="G14" i="4"/>
  <c r="G16" i="4"/>
  <c r="G17" i="4"/>
  <c r="G18" i="4"/>
  <c r="G20" i="4"/>
  <c r="G21" i="4"/>
  <c r="G22" i="4"/>
  <c r="G23" i="4"/>
  <c r="G24" i="4"/>
  <c r="G25" i="4"/>
  <c r="G26" i="4"/>
  <c r="G27" i="4"/>
  <c r="G28" i="4"/>
  <c r="G29" i="4"/>
  <c r="G30" i="4"/>
  <c r="G7" i="4"/>
  <c r="G9" i="5"/>
  <c r="G10" i="5"/>
  <c r="G12" i="5"/>
  <c r="G13" i="5"/>
  <c r="G14" i="5"/>
  <c r="G16" i="5"/>
  <c r="G17" i="5"/>
  <c r="G18" i="5"/>
  <c r="G20" i="5"/>
  <c r="G21" i="5"/>
  <c r="G22" i="5"/>
  <c r="G23" i="5"/>
  <c r="G24" i="5"/>
  <c r="G25" i="5"/>
  <c r="G26" i="5"/>
  <c r="G27" i="5"/>
  <c r="G28" i="5"/>
  <c r="G29" i="5"/>
  <c r="G30" i="5"/>
  <c r="G7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&quot;Major Stock Indexes&quot;" commandType="0"/>
  </connection>
  <connection id="2" xr16:uid="{00000000-0015-0000-FFFF-FFFF01000000}" keepAlive="1" name="Connection1" type="5" refreshedVersion="0" background="1">
    <dbPr connection="Provider=Microsoft.Mashup.OleDb.1;Data Source=$Workbook$;Location=&quot;Major Stock Indexes&quot;" commandType="0"/>
  </connection>
  <connection id="3" xr16:uid="{00000000-0015-0000-FFFF-FFFF02000000}" keepAlive="1" name="Connection2" type="5" refreshedVersion="6" background="1" saveData="1">
    <dbPr connection="Provider=Microsoft.Mashup.OleDb.1;Data Source=$Workbook$;Location=Major Stock Indexes;Extended Properties=&quot;&quot;" command="SELECT * FROM [Major Stock Indexes]"/>
  </connection>
  <connection id="4" xr16:uid="{00000000-0015-0000-FFFF-FFFF03000000}" keepAlive="1" name="Connection3" type="5" refreshedVersion="6" background="1" saveData="1">
    <dbPr connection="Provider=Microsoft.Mashup.OleDb.1;Data Source=$Workbook$;Location=Major Stock Indexes;Extended Properties=&quot;&quot;" command="SELECT * FROM [Major Stock Indexes]"/>
  </connection>
  <connection id="5" xr16:uid="{00000000-0015-0000-FFFF-FFFF04000000}" keepAlive="1" name="Query - Major Stock Indexes" description="Connection to the 'Major Stock Indexes' query in the workbook." type="5" refreshedVersion="6" background="1">
    <dbPr connection="Provider=Microsoft.Mashup.OleDb.1;Data Source=$Workbook$;Location=Major Stock Indexes;Extended Properties=&quot;&quot;" command="SELECT * FROM [Major Stock Indexes]"/>
  </connection>
</connections>
</file>

<file path=xl/sharedStrings.xml><?xml version="1.0" encoding="utf-8"?>
<sst xmlns="http://schemas.openxmlformats.org/spreadsheetml/2006/main" count="1907" uniqueCount="65">
  <si>
    <t xml:space="preserve">TODAY'S MARKET RECAP </t>
  </si>
  <si>
    <t>Index</t>
  </si>
  <si>
    <t>Current Price</t>
  </si>
  <si>
    <t>Prior Day's</t>
  </si>
  <si>
    <t>% Change</t>
  </si>
  <si>
    <t>Dow Jones Industrial (DJI Index)</t>
  </si>
  <si>
    <t>S&amp;P 400 (MID Index)</t>
  </si>
  <si>
    <t>S&amp;P 500 (SPX Index)</t>
  </si>
  <si>
    <t>Russell 1000 (RIY Index)</t>
  </si>
  <si>
    <t>Russell 2000 (RTY Index)</t>
  </si>
  <si>
    <t>Russell 3000 (RAY Index)</t>
  </si>
  <si>
    <t>NYSE Composite (NYA Index)</t>
  </si>
  <si>
    <t>NASDAQ Composite (CCMP Index)</t>
  </si>
  <si>
    <t>AMEX Composite (XAX Index)</t>
  </si>
  <si>
    <t>MSCI World Index (MXWO Index)</t>
  </si>
  <si>
    <t>MSCI EAFE INDEX (MXEA Index)</t>
  </si>
  <si>
    <t>MSCI Emerging Market Index (MXEF Index)</t>
  </si>
  <si>
    <t>Russell Midcap (RMC Index)</t>
  </si>
  <si>
    <t>10 YR US Treasury Note (CT10 Govt)</t>
  </si>
  <si>
    <t>5 YR US Treasury Note (CT5 Govt)</t>
  </si>
  <si>
    <t>2 YR US Treasury Note (CT2 Govt)</t>
  </si>
  <si>
    <t>3 Month T-Bill (CB3 Govt)</t>
  </si>
  <si>
    <t>6 Month T-Bill (CB6 Govt)</t>
  </si>
  <si>
    <t>30 YR US Treasury Note (CT30 Govt)</t>
  </si>
  <si>
    <t>S&amp;P/TSX Composite (SPTSX Index)</t>
  </si>
  <si>
    <t>DWRTFT</t>
  </si>
  <si>
    <t>ERAEMLT</t>
  </si>
  <si>
    <t>IndexValues</t>
  </si>
  <si>
    <t>Key U.S.</t>
  </si>
  <si>
    <t>Last</t>
  </si>
  <si>
    <t>Chg</t>
  </si>
  <si>
    <t>Chg %</t>
  </si>
  <si>
    <t>Dow Jones Industrial Average</t>
  </si>
  <si>
    <t>NASDAQ Composite Index</t>
  </si>
  <si>
    <t>S&amp;P 500 Index</t>
  </si>
  <si>
    <t>Russell 2000 Index</t>
  </si>
  <si>
    <t>Dow Jones Transportation Average</t>
  </si>
  <si>
    <t>Dow Jones Utility Average Index</t>
  </si>
  <si>
    <t>Dow Jones U.S. Total Stock Market Index</t>
  </si>
  <si>
    <t>NASDAQ 100 Index (NASDAQ Calculation)</t>
  </si>
  <si>
    <t>S&amp;P 400 Mid Cap Index</t>
  </si>
  <si>
    <t>NYSE Composite Index</t>
  </si>
  <si>
    <t>Barron's 400 Index</t>
  </si>
  <si>
    <t>CBOE Volatility Index</t>
  </si>
  <si>
    <t>Global Dow Realtime USD</t>
  </si>
  <si>
    <t>Dow Jones Global ex-U.S. Total Stock Market Index</t>
  </si>
  <si>
    <t>The Asia Dow Index USD</t>
  </si>
  <si>
    <t>S&amp;P/ASX 200 Benchmark Index</t>
  </si>
  <si>
    <t>Shanghai Composite Index</t>
  </si>
  <si>
    <t>Hang Seng Index</t>
  </si>
  <si>
    <t>S&amp;P BSE Sensex Index</t>
  </si>
  <si>
    <t>NIKKEI 225 Index</t>
  </si>
  <si>
    <t>FTSE Straits Times Index</t>
  </si>
  <si>
    <t>STOXX Europe 50 Index EUR</t>
  </si>
  <si>
    <t>STOXX Europe 600 Index EUR</t>
  </si>
  <si>
    <t>CAC 40 Index</t>
  </si>
  <si>
    <t>DAX</t>
  </si>
  <si>
    <t>FTSE MIB Index</t>
  </si>
  <si>
    <t>IBEX 35 Index</t>
  </si>
  <si>
    <t>FTSE 100 Index GBP</t>
  </si>
  <si>
    <t>Dow Jones Americas Total Stock Market Index</t>
  </si>
  <si>
    <t>BOVESPA Index</t>
  </si>
  <si>
    <t>S&amp;P/TSX Composite Index</t>
  </si>
  <si>
    <t>IPC Indice de Precios Y Cotizaciones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</si>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</sst>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%"/>
    <numFmt numFmtId="165" formatCode="#,##0.00%;[Red]\(#,##0.00%\)"/>
  </numFmts>
  <fonts count="33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Times New Roman"/>
      <family val="1"/>
    </font>
    <font>
      <b/>
      <u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0"/>
      <color theme="1"/>
      <name val="Arial"/>
      <family val="2"/>
    </font>
    <font>
      <sz val="12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9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64">
    <xf numFmtId="0" fontId="0" fillId="0" borderId="0" xfId="0"/>
    <xf numFmtId="0" fontId="3" fillId="0" borderId="0" xfId="0" applyFont="1" applyAlignment="1">
      <alignment vertical="center"/>
    </xf>
    <xf numFmtId="0" fontId="1" fillId="0" borderId="0" xfId="0" applyFont="1"/>
    <xf numFmtId="0" fontId="1" fillId="0" borderId="0" xfId="0" applyFont="1" applyAlignment="1">
      <alignment vertical="center" wrapText="1"/>
    </xf>
    <xf numFmtId="15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4" fontId="0" fillId="0" borderId="0" xfId="0" applyNumberFormat="1"/>
    <xf numFmtId="44" fontId="0" fillId="0" borderId="0" xfId="0" applyNumberFormat="1"/>
    <xf numFmtId="8" fontId="0" fillId="0" borderId="0" xfId="0" applyNumberFormat="1"/>
    <xf numFmtId="8" fontId="0" fillId="0" borderId="0" xfId="1" applyNumberFormat="1" applyFont="1"/>
    <xf numFmtId="8" fontId="1" fillId="0" borderId="0" xfId="0" applyNumberFormat="1" applyFont="1" applyAlignment="1">
      <alignment vertical="center" wrapText="1"/>
    </xf>
    <xf numFmtId="8" fontId="1" fillId="0" borderId="0" xfId="0" applyNumberFormat="1" applyFont="1"/>
    <xf numFmtId="8" fontId="5" fillId="0" borderId="0" xfId="0" applyNumberFormat="1" applyFont="1" applyAlignment="1">
      <alignment horizontal="center" vertical="center"/>
    </xf>
    <xf numFmtId="8" fontId="6" fillId="0" borderId="0" xfId="0" applyNumberFormat="1" applyFont="1" applyAlignment="1">
      <alignment horizontal="right" vertical="center"/>
    </xf>
    <xf numFmtId="9" fontId="1" fillId="0" borderId="0" xfId="0" applyNumberFormat="1" applyFont="1"/>
    <xf numFmtId="10" fontId="0" fillId="0" borderId="0" xfId="0" applyNumberFormat="1" applyFont="1"/>
    <xf numFmtId="164" fontId="0" fillId="0" borderId="0" xfId="0" applyNumberFormat="1" applyFont="1"/>
    <xf numFmtId="0" fontId="2" fillId="0" borderId="0" xfId="0" applyFont="1" applyAlignment="1">
      <alignment vertical="center"/>
    </xf>
    <xf numFmtId="8" fontId="0" fillId="0" borderId="0" xfId="0" applyNumberFormat="1" applyAlignment="1"/>
    <xf numFmtId="0" fontId="1" fillId="0" borderId="0" xfId="0" applyFont="1" applyAlignment="1">
      <alignment vertical="center"/>
    </xf>
    <xf numFmtId="164" fontId="0" fillId="0" borderId="0" xfId="0" applyNumberFormat="1" applyFont="1" applyAlignment="1"/>
    <xf numFmtId="0" fontId="0" fillId="0" borderId="0" xfId="0" applyAlignment="1"/>
    <xf numFmtId="18" fontId="1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11" fillId="0" borderId="0" xfId="0" applyFont="1"/>
    <xf numFmtId="0" fontId="12" fillId="0" borderId="0" xfId="0" applyFont="1"/>
    <xf numFmtId="8" fontId="12" fillId="0" borderId="0" xfId="0" applyNumberFormat="1" applyFont="1"/>
    <xf numFmtId="15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8" fontId="12" fillId="0" borderId="0" xfId="0" applyNumberFormat="1" applyFont="1" applyAlignment="1"/>
    <xf numFmtId="0" fontId="11" fillId="0" borderId="0" xfId="0" applyFont="1" applyAlignment="1">
      <alignment vertical="center"/>
    </xf>
    <xf numFmtId="164" fontId="12" fillId="0" borderId="0" xfId="0" applyNumberFormat="1" applyFont="1" applyAlignment="1"/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4" fontId="16" fillId="0" borderId="0" xfId="0" applyNumberFormat="1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6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8" fontId="23" fillId="0" borderId="0" xfId="0" applyNumberFormat="1" applyFont="1"/>
    <xf numFmtId="15" fontId="24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vertical="center" wrapText="1"/>
    </xf>
    <xf numFmtId="4" fontId="27" fillId="0" borderId="0" xfId="0" applyNumberFormat="1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right" vertical="center"/>
    </xf>
    <xf numFmtId="0" fontId="29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30" fillId="0" borderId="0" xfId="2" quotePrefix="1" applyFont="1"/>
    <xf numFmtId="0" fontId="31" fillId="0" borderId="0" xfId="0" applyFont="1"/>
    <xf numFmtId="165" fontId="0" fillId="0" borderId="0" xfId="0" applyNumberFormat="1"/>
    <xf numFmtId="8" fontId="32" fillId="0" borderId="0" xfId="0" applyNumberFormat="1" applyFont="1"/>
    <xf numFmtId="165" fontId="32" fillId="0" borderId="0" xfId="0" applyNumberFormat="1" applyFont="1"/>
  </cellXfs>
  <cellStyles count="3">
    <cellStyle name="Currency" xfId="1" builtinId="4"/>
    <cellStyle name="Hyperlink" xfId="2" builtinId="8"/>
    <cellStyle name="Normal" xfId="0" builtinId="0"/>
  </cellStyles>
  <dxfs count="4">
    <dxf>
      <numFmt numFmtId="12" formatCode="&quot;$&quot;#,##0.00_);[Red]\(&quot;$&quot;#,##0.00\)"/>
    </dxf>
    <dxf>
      <numFmt numFmtId="165" formatCode="#,##0.00%;[Red]\(#,##0.00%\)"/>
    </dxf>
    <dxf>
      <numFmt numFmtId="12" formatCode="&quot;$&quot;#,##0.00_);[Red]\(&quot;$&quot;#,##0.00\)"/>
    </dxf>
    <dxf>
      <numFmt numFmtId="12" formatCode="&quot;$&quot;#,##0.00_);[Red]\(&quot;$&quot;#,##0.0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2</xdr:row>
          <xdr:rowOff>12700</xdr:rowOff>
        </xdr:from>
        <xdr:to>
          <xdr:col>4</xdr:col>
          <xdr:colOff>603250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4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4700-000000000000}" autoFormatId="16" applyNumberFormats="0" applyBorderFormats="0" applyFontFormats="1" applyPatternFormats="1" applyAlignmentFormats="0" applyWidthHeightFormats="0">
  <queryTableRefresh nextId="7" unboundColumnsRight="1">
    <queryTableFields count="5">
      <queryTableField id="1" name="Key U.S." tableColumnId="5"/>
      <queryTableField id="2" name="Last" tableColumnId="6"/>
      <queryTableField id="3" name="Chg" tableColumnId="7"/>
      <queryTableField id="4" name="Chg %" tableColumnId="8"/>
      <queryTableField id="5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ock_Indexes" displayName="Stock_Indexes" ref="A1:E33" tableType="queryTable" totalsRowShown="0">
  <autoFilter ref="A1:E33" xr:uid="{00000000-0009-0000-0100-000001000000}"/>
  <tableColumns count="5">
    <tableColumn id="5" xr3:uid="{00000000-0010-0000-0000-000005000000}" uniqueName="5" name="Key U.S." queryTableFieldId="1"/>
    <tableColumn id="6" xr3:uid="{00000000-0010-0000-0000-000006000000}" uniqueName="6" name="Last" queryTableFieldId="2" dataDxfId="3"/>
    <tableColumn id="7" xr3:uid="{00000000-0010-0000-0000-000007000000}" uniqueName="7" name="Chg" queryTableFieldId="3" dataDxfId="2"/>
    <tableColumn id="8" xr3:uid="{00000000-0010-0000-0000-000008000000}" uniqueName="8" name="Chg %" queryTableFieldId="4" dataDxfId="1"/>
    <tableColumn id="9" xr3:uid="{00000000-0010-0000-0000-000009000000}" uniqueName="9" name="Start" queryTableFieldId="5" dataDxfId="0">
      <calculatedColumnFormula>Stock_Indexes[[#This Row],[Last]]+Stock_Indexes[[#This Row],[Chg]]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www.marketwatch.com/investing/index/djia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30"/>
  <sheetViews>
    <sheetView workbookViewId="0"/>
  </sheetViews>
  <sheetFormatPr defaultRowHeight="14.5" x14ac:dyDescent="0.35"/>
  <cols>
    <col min="1" max="1" width="37.81640625" style="49" bestFit="1" customWidth="1"/>
    <col min="2" max="2" width="13.1796875" style="49" bestFit="1" customWidth="1"/>
    <col min="3" max="3" width="10.7265625" style="49" bestFit="1" customWidth="1"/>
    <col min="4" max="4" width="8.7265625" style="49"/>
    <col min="5" max="5" width="10" style="49" bestFit="1" customWidth="1"/>
    <col min="6" max="6" width="8.7265625" style="49"/>
    <col min="7" max="7" width="10.7265625" style="50" customWidth="1"/>
    <col min="8" max="16384" width="8.7265625" style="49"/>
  </cols>
  <sheetData>
    <row r="1" spans="1:7" ht="18" x14ac:dyDescent="0.35">
      <c r="A1" s="46" t="s">
        <v>0</v>
      </c>
      <c r="B1" s="47"/>
      <c r="C1" s="48"/>
      <c r="D1" s="47"/>
      <c r="E1" s="48"/>
    </row>
    <row r="2" spans="1:7" ht="15.5" x14ac:dyDescent="0.35">
      <c r="A2" s="51">
        <v>42850</v>
      </c>
      <c r="B2" s="47"/>
      <c r="C2" s="48"/>
      <c r="D2" s="47"/>
      <c r="E2" s="48"/>
    </row>
    <row r="3" spans="1:7" x14ac:dyDescent="0.35">
      <c r="A3" s="48"/>
      <c r="B3" s="47"/>
      <c r="C3" s="48"/>
      <c r="D3" s="47"/>
      <c r="E3" s="48"/>
    </row>
    <row r="4" spans="1:7" x14ac:dyDescent="0.35">
      <c r="A4" s="47"/>
      <c r="B4" s="47"/>
      <c r="C4" s="48"/>
      <c r="D4" s="47"/>
      <c r="E4" s="48"/>
    </row>
    <row r="5" spans="1:7" x14ac:dyDescent="0.35">
      <c r="A5" s="52" t="s">
        <v>1</v>
      </c>
      <c r="B5" s="52" t="s">
        <v>2</v>
      </c>
      <c r="C5" s="52" t="s">
        <v>3</v>
      </c>
      <c r="D5" s="47"/>
      <c r="E5" s="52" t="s">
        <v>4</v>
      </c>
    </row>
    <row r="6" spans="1:7" x14ac:dyDescent="0.35">
      <c r="A6" s="47"/>
      <c r="B6" s="47"/>
      <c r="C6" s="48"/>
      <c r="D6" s="47"/>
      <c r="E6" s="48"/>
    </row>
    <row r="7" spans="1:7" ht="15.5" x14ac:dyDescent="0.35">
      <c r="A7" s="53" t="s">
        <v>5</v>
      </c>
      <c r="B7" s="54">
        <v>20996.12</v>
      </c>
      <c r="C7" s="54">
        <v>20763.89</v>
      </c>
      <c r="D7" s="47"/>
      <c r="E7" s="55">
        <v>1.1200000000000001</v>
      </c>
      <c r="G7" s="50">
        <f>B7-C7</f>
        <v>232.22999999999956</v>
      </c>
    </row>
    <row r="8" spans="1:7" x14ac:dyDescent="0.35">
      <c r="A8" s="47"/>
      <c r="B8" s="48"/>
      <c r="C8" s="48"/>
      <c r="D8" s="47"/>
      <c r="E8" s="48"/>
    </row>
    <row r="9" spans="1:7" ht="15.5" x14ac:dyDescent="0.35">
      <c r="A9" s="53" t="s">
        <v>6</v>
      </c>
      <c r="B9" s="54">
        <v>1747.86</v>
      </c>
      <c r="C9" s="54">
        <v>1737.34</v>
      </c>
      <c r="D9" s="47"/>
      <c r="E9" s="55">
        <v>0.61</v>
      </c>
      <c r="G9" s="50">
        <f t="shared" ref="G9:G30" si="0">B9-C9</f>
        <v>10.519999999999982</v>
      </c>
    </row>
    <row r="10" spans="1:7" ht="15.5" x14ac:dyDescent="0.35">
      <c r="A10" s="53" t="s">
        <v>7</v>
      </c>
      <c r="B10" s="54">
        <v>2388.56</v>
      </c>
      <c r="C10" s="54">
        <v>2374.08</v>
      </c>
      <c r="D10" s="47"/>
      <c r="E10" s="55">
        <v>0.61</v>
      </c>
      <c r="G10" s="50">
        <f t="shared" si="0"/>
        <v>14.480000000000018</v>
      </c>
    </row>
    <row r="11" spans="1:7" x14ac:dyDescent="0.35">
      <c r="A11" s="47"/>
      <c r="B11" s="48"/>
      <c r="C11" s="48"/>
      <c r="D11" s="48"/>
      <c r="E11" s="48"/>
    </row>
    <row r="12" spans="1:7" ht="15.5" x14ac:dyDescent="0.35">
      <c r="A12" s="53" t="s">
        <v>8</v>
      </c>
      <c r="B12" s="54">
        <v>1325.203</v>
      </c>
      <c r="C12" s="54">
        <v>1317.1279999999999</v>
      </c>
      <c r="D12" s="48"/>
      <c r="E12" s="55">
        <v>0.61</v>
      </c>
      <c r="G12" s="50">
        <f t="shared" si="0"/>
        <v>8.0750000000000455</v>
      </c>
    </row>
    <row r="13" spans="1:7" ht="15.5" x14ac:dyDescent="0.35">
      <c r="A13" s="53" t="s">
        <v>9</v>
      </c>
      <c r="B13" s="54">
        <v>1411.0150000000001</v>
      </c>
      <c r="C13" s="54">
        <v>1397.9690000000001</v>
      </c>
      <c r="D13" s="48"/>
      <c r="E13" s="55">
        <v>0.93</v>
      </c>
      <c r="G13" s="50">
        <f t="shared" si="0"/>
        <v>13.046000000000049</v>
      </c>
    </row>
    <row r="14" spans="1:7" ht="15.5" x14ac:dyDescent="0.35">
      <c r="A14" s="53" t="s">
        <v>10</v>
      </c>
      <c r="B14" s="54">
        <v>1418.3969999999999</v>
      </c>
      <c r="C14" s="54">
        <v>1409.402</v>
      </c>
      <c r="D14" s="48"/>
      <c r="E14" s="55">
        <v>0.64</v>
      </c>
      <c r="G14" s="50">
        <f t="shared" si="0"/>
        <v>8.9949999999998909</v>
      </c>
    </row>
    <row r="15" spans="1:7" x14ac:dyDescent="0.35">
      <c r="A15" s="47"/>
      <c r="B15" s="48"/>
      <c r="C15" s="48"/>
      <c r="D15" s="48"/>
      <c r="E15" s="48"/>
    </row>
    <row r="16" spans="1:7" ht="15.5" x14ac:dyDescent="0.35">
      <c r="A16" s="53" t="s">
        <v>11</v>
      </c>
      <c r="B16" s="54">
        <v>11603.18</v>
      </c>
      <c r="C16" s="54">
        <v>11531.43</v>
      </c>
      <c r="D16" s="47"/>
      <c r="E16" s="55">
        <v>0.62</v>
      </c>
      <c r="G16" s="50">
        <f t="shared" si="0"/>
        <v>71.75</v>
      </c>
    </row>
    <row r="17" spans="1:7" ht="15.5" x14ac:dyDescent="0.35">
      <c r="A17" s="53" t="s">
        <v>12</v>
      </c>
      <c r="B17" s="54">
        <v>6025.4920000000002</v>
      </c>
      <c r="C17" s="54">
        <v>5983.8190000000004</v>
      </c>
      <c r="D17" s="47"/>
      <c r="E17" s="55">
        <v>0.7</v>
      </c>
      <c r="G17" s="50">
        <f t="shared" si="0"/>
        <v>41.672999999999774</v>
      </c>
    </row>
    <row r="18" spans="1:7" ht="15.5" x14ac:dyDescent="0.35">
      <c r="A18" s="53" t="s">
        <v>13</v>
      </c>
      <c r="B18" s="54">
        <v>2562.8490000000002</v>
      </c>
      <c r="C18" s="54">
        <v>2559</v>
      </c>
      <c r="D18" s="47"/>
      <c r="E18" s="55">
        <v>0.15</v>
      </c>
      <c r="G18" s="50">
        <f t="shared" si="0"/>
        <v>3.8490000000001601</v>
      </c>
    </row>
    <row r="19" spans="1:7" x14ac:dyDescent="0.35">
      <c r="A19" s="47"/>
      <c r="B19" s="48"/>
      <c r="C19" s="48"/>
      <c r="D19" s="47"/>
      <c r="E19" s="48"/>
    </row>
    <row r="20" spans="1:7" ht="15.5" x14ac:dyDescent="0.35">
      <c r="A20" s="53" t="s">
        <v>14</v>
      </c>
      <c r="B20" s="54">
        <v>1882.04</v>
      </c>
      <c r="C20" s="54">
        <v>1871.65</v>
      </c>
      <c r="D20" s="47"/>
      <c r="E20" s="55">
        <v>0.56000000000000005</v>
      </c>
      <c r="G20" s="50">
        <f t="shared" si="0"/>
        <v>10.389999999999873</v>
      </c>
    </row>
    <row r="21" spans="1:7" ht="15.5" x14ac:dyDescent="0.35">
      <c r="A21" s="53" t="s">
        <v>15</v>
      </c>
      <c r="B21" s="54">
        <v>1836.11</v>
      </c>
      <c r="C21" s="54">
        <v>1827.44</v>
      </c>
      <c r="D21" s="47"/>
      <c r="E21" s="55">
        <v>0.47</v>
      </c>
      <c r="G21" s="50">
        <f t="shared" si="0"/>
        <v>8.6699999999998454</v>
      </c>
    </row>
    <row r="22" spans="1:7" ht="31" x14ac:dyDescent="0.35">
      <c r="A22" s="53" t="s">
        <v>16</v>
      </c>
      <c r="B22" s="56">
        <v>982.65</v>
      </c>
      <c r="C22" s="56">
        <v>971.36</v>
      </c>
      <c r="D22" s="47"/>
      <c r="E22" s="55">
        <v>1.1599999999999999</v>
      </c>
      <c r="G22" s="50">
        <f t="shared" si="0"/>
        <v>11.289999999999964</v>
      </c>
    </row>
    <row r="23" spans="1:7" ht="15.5" x14ac:dyDescent="0.35">
      <c r="A23" s="53" t="s">
        <v>17</v>
      </c>
      <c r="B23" s="54">
        <v>1893.49</v>
      </c>
      <c r="C23" s="54">
        <v>1883.9059999999999</v>
      </c>
      <c r="D23" s="47"/>
      <c r="E23" s="55">
        <v>0.51</v>
      </c>
      <c r="G23" s="50">
        <f t="shared" si="0"/>
        <v>9.58400000000006</v>
      </c>
    </row>
    <row r="24" spans="1:7" ht="15.5" x14ac:dyDescent="0.35">
      <c r="A24" s="53" t="s">
        <v>18</v>
      </c>
      <c r="B24" s="56">
        <v>99.272999999999996</v>
      </c>
      <c r="C24" s="56">
        <v>99.813000000000002</v>
      </c>
      <c r="D24" s="47"/>
      <c r="E24" s="57">
        <v>-0.54</v>
      </c>
      <c r="G24" s="50">
        <f t="shared" si="0"/>
        <v>-0.54000000000000625</v>
      </c>
    </row>
    <row r="25" spans="1:7" ht="15.5" x14ac:dyDescent="0.35">
      <c r="A25" s="53" t="s">
        <v>19</v>
      </c>
      <c r="B25" s="56">
        <v>100.104</v>
      </c>
      <c r="C25" s="56">
        <v>100.35899999999999</v>
      </c>
      <c r="D25" s="47"/>
      <c r="E25" s="57">
        <v>-0.25</v>
      </c>
      <c r="G25" s="50">
        <f t="shared" si="0"/>
        <v>-0.25499999999999545</v>
      </c>
    </row>
    <row r="26" spans="1:7" ht="15.5" x14ac:dyDescent="0.35">
      <c r="A26" s="53" t="s">
        <v>20</v>
      </c>
      <c r="B26" s="56">
        <v>99.953000000000003</v>
      </c>
      <c r="C26" s="56">
        <v>100.035</v>
      </c>
      <c r="D26" s="47"/>
      <c r="E26" s="57">
        <v>-0.08</v>
      </c>
      <c r="G26" s="50">
        <f t="shared" si="0"/>
        <v>-8.1999999999993634E-2</v>
      </c>
    </row>
    <row r="27" spans="1:7" x14ac:dyDescent="0.35">
      <c r="A27" s="58" t="s">
        <v>21</v>
      </c>
      <c r="B27" s="56">
        <v>0.79</v>
      </c>
      <c r="C27" s="56">
        <v>0.78</v>
      </c>
      <c r="D27" s="47"/>
      <c r="E27" s="55">
        <v>1.28</v>
      </c>
      <c r="G27" s="50">
        <f t="shared" si="0"/>
        <v>1.0000000000000009E-2</v>
      </c>
    </row>
    <row r="28" spans="1:7" x14ac:dyDescent="0.35">
      <c r="A28" s="58" t="s">
        <v>22</v>
      </c>
      <c r="B28" s="56">
        <v>0.95</v>
      </c>
      <c r="C28" s="56">
        <v>0.93</v>
      </c>
      <c r="D28" s="47"/>
      <c r="E28" s="55">
        <v>2.15</v>
      </c>
      <c r="G28" s="50">
        <f t="shared" si="0"/>
        <v>1.9999999999999907E-2</v>
      </c>
    </row>
    <row r="29" spans="1:7" ht="15.5" x14ac:dyDescent="0.35">
      <c r="A29" s="53" t="s">
        <v>23</v>
      </c>
      <c r="B29" s="56">
        <v>100.23399999999999</v>
      </c>
      <c r="C29" s="56">
        <v>101.438</v>
      </c>
      <c r="D29" s="47"/>
      <c r="E29" s="57">
        <v>-1.19</v>
      </c>
      <c r="G29" s="50">
        <f t="shared" si="0"/>
        <v>-1.2040000000000077</v>
      </c>
    </row>
    <row r="30" spans="1:7" ht="15.5" x14ac:dyDescent="0.35">
      <c r="A30" s="53" t="s">
        <v>24</v>
      </c>
      <c r="B30" s="54">
        <v>15745.19</v>
      </c>
      <c r="C30" s="54">
        <v>15712.46</v>
      </c>
      <c r="D30" s="47"/>
      <c r="E30" s="55">
        <v>0.21</v>
      </c>
      <c r="G30" s="50">
        <f t="shared" si="0"/>
        <v>32.730000000001382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30"/>
  <sheetViews>
    <sheetView workbookViewId="0"/>
  </sheetViews>
  <sheetFormatPr defaultRowHeight="14.5" x14ac:dyDescent="0.35"/>
  <cols>
    <col min="1" max="1" width="39.453125" bestFit="1" customWidth="1"/>
    <col min="2" max="2" width="12.54296875" bestFit="1" customWidth="1"/>
    <col min="3" max="3" width="10.26953125" bestFit="1" customWidth="1"/>
    <col min="5" max="5" width="9.54296875" bestFit="1" customWidth="1"/>
    <col min="7" max="7" width="10.7265625" style="14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42851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20975.09</v>
      </c>
      <c r="C7" s="7">
        <v>20996.12</v>
      </c>
      <c r="D7" s="3"/>
      <c r="E7" s="10">
        <v>-0.1</v>
      </c>
      <c r="G7" s="14">
        <f>B7-C7</f>
        <v>-21.029999999998836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1748.37</v>
      </c>
      <c r="C9" s="7">
        <v>1747.86</v>
      </c>
      <c r="D9" s="3"/>
      <c r="E9" s="8">
        <v>0.03</v>
      </c>
      <c r="G9" s="14">
        <f t="shared" ref="G9:G30" si="0">B9-C9</f>
        <v>0.50999999999999091</v>
      </c>
    </row>
    <row r="10" spans="1:7" ht="15.5" x14ac:dyDescent="0.35">
      <c r="A10" s="6" t="s">
        <v>7</v>
      </c>
      <c r="B10" s="7">
        <v>2387.58</v>
      </c>
      <c r="C10" s="7">
        <v>2388.56</v>
      </c>
      <c r="D10" s="3"/>
      <c r="E10" s="10">
        <v>-0.04</v>
      </c>
      <c r="G10" s="14">
        <f t="shared" si="0"/>
        <v>-0.98000000000001819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1324.885</v>
      </c>
      <c r="C12" s="7">
        <v>1325.203</v>
      </c>
      <c r="D12" s="2"/>
      <c r="E12" s="10">
        <v>-0.02</v>
      </c>
      <c r="G12" s="14">
        <f t="shared" si="0"/>
        <v>-0.31799999999998363</v>
      </c>
    </row>
    <row r="13" spans="1:7" ht="15.5" x14ac:dyDescent="0.35">
      <c r="A13" s="6" t="s">
        <v>9</v>
      </c>
      <c r="B13" s="7">
        <v>1419.2660000000001</v>
      </c>
      <c r="C13" s="7">
        <v>1411.0150000000001</v>
      </c>
      <c r="D13" s="2"/>
      <c r="E13" s="8">
        <v>0.57999999999999996</v>
      </c>
      <c r="G13" s="14">
        <f t="shared" si="0"/>
        <v>8.2509999999999764</v>
      </c>
    </row>
    <row r="14" spans="1:7" ht="15.5" x14ac:dyDescent="0.35">
      <c r="A14" s="6" t="s">
        <v>10</v>
      </c>
      <c r="B14" s="7">
        <v>1418.722</v>
      </c>
      <c r="C14" s="7">
        <v>1418.3969999999999</v>
      </c>
      <c r="D14" s="2"/>
      <c r="E14" s="8">
        <v>0.02</v>
      </c>
      <c r="G14" s="14">
        <f t="shared" si="0"/>
        <v>0.32500000000004547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11592.55</v>
      </c>
      <c r="C16" s="7">
        <v>11603.18</v>
      </c>
      <c r="D16" s="3"/>
      <c r="E16" s="10">
        <v>-0.09</v>
      </c>
      <c r="G16" s="14">
        <f t="shared" si="0"/>
        <v>-10.630000000001019</v>
      </c>
    </row>
    <row r="17" spans="1:7" ht="15.5" x14ac:dyDescent="0.35">
      <c r="A17" s="6" t="s">
        <v>12</v>
      </c>
      <c r="B17" s="7">
        <v>6025.2259999999997</v>
      </c>
      <c r="C17" s="7">
        <v>6025.4920000000002</v>
      </c>
      <c r="D17" s="3"/>
      <c r="E17" s="10">
        <v>0</v>
      </c>
      <c r="G17" s="14">
        <f t="shared" si="0"/>
        <v>-0.26600000000053114</v>
      </c>
    </row>
    <row r="18" spans="1:7" ht="15.5" x14ac:dyDescent="0.35">
      <c r="A18" s="6" t="s">
        <v>13</v>
      </c>
      <c r="B18" s="7">
        <v>2554.5300000000002</v>
      </c>
      <c r="C18" s="7">
        <v>2562.8490000000002</v>
      </c>
      <c r="D18" s="3"/>
      <c r="E18" s="10">
        <v>-0.32</v>
      </c>
      <c r="G18" s="14">
        <f t="shared" si="0"/>
        <v>-8.31899999999996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1883.78</v>
      </c>
      <c r="C20" s="7">
        <v>1882.04</v>
      </c>
      <c r="D20" s="3"/>
      <c r="E20" s="8">
        <v>0.09</v>
      </c>
      <c r="G20" s="14">
        <f t="shared" si="0"/>
        <v>1.7400000000000091</v>
      </c>
    </row>
    <row r="21" spans="1:7" ht="15.5" x14ac:dyDescent="0.35">
      <c r="A21" s="6" t="s">
        <v>15</v>
      </c>
      <c r="B21" s="7">
        <v>1843.3</v>
      </c>
      <c r="C21" s="7">
        <v>1836.11</v>
      </c>
      <c r="D21" s="3"/>
      <c r="E21" s="8">
        <v>0.39</v>
      </c>
      <c r="G21" s="14">
        <f t="shared" si="0"/>
        <v>7.1900000000000546</v>
      </c>
    </row>
    <row r="22" spans="1:7" ht="31" x14ac:dyDescent="0.35">
      <c r="A22" s="6" t="s">
        <v>16</v>
      </c>
      <c r="B22" s="9">
        <v>981.03</v>
      </c>
      <c r="C22" s="9">
        <v>982.65</v>
      </c>
      <c r="D22" s="3"/>
      <c r="E22" s="10">
        <v>-0.16</v>
      </c>
      <c r="G22" s="14">
        <f t="shared" si="0"/>
        <v>-1.6200000000000045</v>
      </c>
    </row>
    <row r="23" spans="1:7" ht="15.5" x14ac:dyDescent="0.35">
      <c r="A23" s="6" t="s">
        <v>17</v>
      </c>
      <c r="B23" s="7">
        <v>1894.06</v>
      </c>
      <c r="C23" s="7">
        <v>1893.4870000000001</v>
      </c>
      <c r="D23" s="3"/>
      <c r="E23" s="8">
        <v>0.03</v>
      </c>
      <c r="G23" s="14">
        <f t="shared" si="0"/>
        <v>0.57299999999986539</v>
      </c>
    </row>
    <row r="24" spans="1:7" ht="15.5" x14ac:dyDescent="0.35">
      <c r="A24" s="6" t="s">
        <v>18</v>
      </c>
      <c r="B24" s="9">
        <v>99.563000000000002</v>
      </c>
      <c r="C24" s="9">
        <v>99.272999999999996</v>
      </c>
      <c r="D24" s="3"/>
      <c r="E24" s="8">
        <v>0.28999999999999998</v>
      </c>
      <c r="G24" s="14">
        <f t="shared" si="0"/>
        <v>0.29000000000000625</v>
      </c>
    </row>
    <row r="25" spans="1:7" ht="15.5" x14ac:dyDescent="0.35">
      <c r="A25" s="6" t="s">
        <v>19</v>
      </c>
      <c r="B25" s="9">
        <v>100.23</v>
      </c>
      <c r="C25" s="9">
        <v>100.104</v>
      </c>
      <c r="D25" s="3"/>
      <c r="E25" s="8">
        <v>0.13</v>
      </c>
      <c r="G25" s="14">
        <f t="shared" si="0"/>
        <v>0.12600000000000477</v>
      </c>
    </row>
    <row r="26" spans="1:7" ht="15.5" x14ac:dyDescent="0.35">
      <c r="A26" s="6" t="s">
        <v>20</v>
      </c>
      <c r="B26" s="9">
        <v>99.960999999999999</v>
      </c>
      <c r="C26" s="9">
        <v>99.953000000000003</v>
      </c>
      <c r="D26" s="3"/>
      <c r="E26" s="8">
        <v>0.01</v>
      </c>
      <c r="G26" s="14">
        <f t="shared" si="0"/>
        <v>7.9999999999955662E-3</v>
      </c>
    </row>
    <row r="27" spans="1:7" x14ac:dyDescent="0.35">
      <c r="A27" s="11" t="s">
        <v>21</v>
      </c>
      <c r="B27" s="9">
        <v>0.80500000000000005</v>
      </c>
      <c r="C27" s="9">
        <v>0.79</v>
      </c>
      <c r="D27" s="3"/>
      <c r="E27" s="8">
        <v>1.9</v>
      </c>
      <c r="G27" s="14">
        <f t="shared" si="0"/>
        <v>1.5000000000000013E-2</v>
      </c>
    </row>
    <row r="28" spans="1:7" x14ac:dyDescent="0.35">
      <c r="A28" s="11" t="s">
        <v>22</v>
      </c>
      <c r="B28" s="9">
        <v>0.94499999999999995</v>
      </c>
      <c r="C28" s="9">
        <v>0.95</v>
      </c>
      <c r="D28" s="3"/>
      <c r="E28" s="10">
        <v>-0.53</v>
      </c>
      <c r="G28" s="14">
        <f t="shared" si="0"/>
        <v>-5.0000000000000044E-3</v>
      </c>
    </row>
    <row r="29" spans="1:7" ht="15.5" x14ac:dyDescent="0.35">
      <c r="A29" s="6" t="s">
        <v>23</v>
      </c>
      <c r="B29" s="9">
        <v>100.797</v>
      </c>
      <c r="C29" s="9">
        <v>100.23399999999999</v>
      </c>
      <c r="D29" s="3"/>
      <c r="E29" s="8">
        <v>0.56000000000000005</v>
      </c>
      <c r="G29" s="14">
        <f t="shared" si="0"/>
        <v>0.56300000000000239</v>
      </c>
    </row>
    <row r="30" spans="1:7" ht="15.5" x14ac:dyDescent="0.35">
      <c r="A30" s="6" t="s">
        <v>24</v>
      </c>
      <c r="B30" s="7">
        <v>15649.54</v>
      </c>
      <c r="C30" s="7">
        <v>15745.19</v>
      </c>
      <c r="D30" s="3"/>
      <c r="E30" s="10">
        <v>-0.61</v>
      </c>
      <c r="G30" s="14">
        <f t="shared" si="0"/>
        <v>-95.649999999999636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30"/>
  <sheetViews>
    <sheetView workbookViewId="0"/>
  </sheetViews>
  <sheetFormatPr defaultRowHeight="14.5" x14ac:dyDescent="0.35"/>
  <cols>
    <col min="1" max="1" width="39.453125" bestFit="1" customWidth="1"/>
    <col min="2" max="2" width="12.54296875" bestFit="1" customWidth="1"/>
    <col min="3" max="3" width="10.26953125" bestFit="1" customWidth="1"/>
    <col min="5" max="5" width="9.54296875" bestFit="1" customWidth="1"/>
    <col min="7" max="7" width="10.7265625" style="14" customWidth="1"/>
  </cols>
  <sheetData>
    <row r="1" spans="1:7" ht="18" x14ac:dyDescent="0.35">
      <c r="A1" s="1" t="s">
        <v>0</v>
      </c>
    </row>
    <row r="2" spans="1:7" ht="15.5" x14ac:dyDescent="0.35">
      <c r="A2" s="4">
        <v>42852</v>
      </c>
    </row>
    <row r="5" spans="1:7" x14ac:dyDescent="0.35">
      <c r="A5" t="s">
        <v>1</v>
      </c>
      <c r="B5" t="s">
        <v>2</v>
      </c>
      <c r="C5" t="s">
        <v>3</v>
      </c>
      <c r="E5" t="s">
        <v>4</v>
      </c>
    </row>
    <row r="7" spans="1:7" x14ac:dyDescent="0.35">
      <c r="A7" t="s">
        <v>5</v>
      </c>
      <c r="B7" s="12">
        <v>20981.33</v>
      </c>
      <c r="C7" s="12">
        <v>20975.09</v>
      </c>
      <c r="E7">
        <v>0.03</v>
      </c>
      <c r="G7" s="14">
        <f>B7-C7</f>
        <v>6.2400000000016007</v>
      </c>
    </row>
    <row r="9" spans="1:7" x14ac:dyDescent="0.35">
      <c r="A9" t="s">
        <v>6</v>
      </c>
      <c r="B9" s="12">
        <v>1749.42</v>
      </c>
      <c r="C9" s="12">
        <v>1748.37</v>
      </c>
      <c r="E9">
        <v>0.06</v>
      </c>
      <c r="G9" s="14">
        <f t="shared" ref="G9:G30" si="0">B9-C9</f>
        <v>1.0500000000001819</v>
      </c>
    </row>
    <row r="10" spans="1:7" x14ac:dyDescent="0.35">
      <c r="A10" t="s">
        <v>7</v>
      </c>
      <c r="B10" s="12">
        <v>2388.86</v>
      </c>
      <c r="C10" s="12">
        <v>2387.58</v>
      </c>
      <c r="E10">
        <v>0.05</v>
      </c>
      <c r="G10" s="14">
        <f t="shared" si="0"/>
        <v>1.2800000000002001</v>
      </c>
    </row>
    <row r="12" spans="1:7" x14ac:dyDescent="0.35">
      <c r="A12" t="s">
        <v>8</v>
      </c>
      <c r="B12" s="12">
        <v>1325.779</v>
      </c>
      <c r="C12" s="12">
        <v>1324.885</v>
      </c>
      <c r="E12">
        <v>7.0000000000000007E-2</v>
      </c>
      <c r="G12" s="14">
        <f t="shared" si="0"/>
        <v>0.89400000000000546</v>
      </c>
    </row>
    <row r="13" spans="1:7" x14ac:dyDescent="0.35">
      <c r="A13" t="s">
        <v>9</v>
      </c>
      <c r="B13" s="12">
        <v>1417.165</v>
      </c>
      <c r="C13" s="12">
        <v>1419.2660000000001</v>
      </c>
      <c r="E13">
        <v>-0.15</v>
      </c>
      <c r="G13" s="14">
        <f t="shared" si="0"/>
        <v>-2.1010000000001128</v>
      </c>
    </row>
    <row r="14" spans="1:7" x14ac:dyDescent="0.35">
      <c r="A14" t="s">
        <v>10</v>
      </c>
      <c r="B14" s="12">
        <v>1419.4459999999999</v>
      </c>
      <c r="C14" s="12">
        <v>1418.722</v>
      </c>
      <c r="E14">
        <v>0.05</v>
      </c>
      <c r="G14" s="14">
        <f t="shared" si="0"/>
        <v>0.7239999999999327</v>
      </c>
    </row>
    <row r="16" spans="1:7" x14ac:dyDescent="0.35">
      <c r="A16" t="s">
        <v>11</v>
      </c>
      <c r="B16" s="12">
        <v>11578.61</v>
      </c>
      <c r="C16" s="12">
        <v>11592.55</v>
      </c>
      <c r="E16">
        <v>-0.12</v>
      </c>
      <c r="G16" s="14">
        <f t="shared" si="0"/>
        <v>-13.93999999999869</v>
      </c>
    </row>
    <row r="17" spans="1:7" x14ac:dyDescent="0.35">
      <c r="A17" t="s">
        <v>12</v>
      </c>
      <c r="B17" s="12">
        <v>6048.9369999999999</v>
      </c>
      <c r="C17" s="12">
        <v>6025.2259999999997</v>
      </c>
      <c r="E17">
        <v>0.39</v>
      </c>
      <c r="G17" s="14">
        <f t="shared" si="0"/>
        <v>23.71100000000024</v>
      </c>
    </row>
    <row r="18" spans="1:7" x14ac:dyDescent="0.35">
      <c r="A18" t="s">
        <v>13</v>
      </c>
      <c r="B18" s="12">
        <v>2529.8820000000001</v>
      </c>
      <c r="C18" s="12">
        <v>2554.5300000000002</v>
      </c>
      <c r="E18">
        <v>-0.96</v>
      </c>
      <c r="G18" s="14">
        <f t="shared" si="0"/>
        <v>-24.648000000000138</v>
      </c>
    </row>
    <row r="20" spans="1:7" x14ac:dyDescent="0.35">
      <c r="A20" t="s">
        <v>14</v>
      </c>
      <c r="B20" s="12">
        <v>1881.87</v>
      </c>
      <c r="C20" s="12">
        <v>1883.78</v>
      </c>
      <c r="E20">
        <v>-0.1</v>
      </c>
      <c r="G20" s="14">
        <f t="shared" si="0"/>
        <v>-1.9100000000000819</v>
      </c>
    </row>
    <row r="21" spans="1:7" x14ac:dyDescent="0.35">
      <c r="A21" t="s">
        <v>15</v>
      </c>
      <c r="B21" s="12">
        <v>1837.61</v>
      </c>
      <c r="C21" s="12">
        <v>1843.3</v>
      </c>
      <c r="E21">
        <v>-0.31</v>
      </c>
      <c r="G21" s="14">
        <f t="shared" si="0"/>
        <v>-5.6900000000000546</v>
      </c>
    </row>
    <row r="22" spans="1:7" x14ac:dyDescent="0.35">
      <c r="A22" t="s">
        <v>16</v>
      </c>
      <c r="B22">
        <v>979.2</v>
      </c>
      <c r="C22">
        <v>981.03</v>
      </c>
      <c r="E22">
        <v>-0.19</v>
      </c>
      <c r="G22" s="14">
        <f t="shared" si="0"/>
        <v>-1.8299999999999272</v>
      </c>
    </row>
    <row r="23" spans="1:7" x14ac:dyDescent="0.35">
      <c r="A23" t="s">
        <v>17</v>
      </c>
      <c r="B23" s="12">
        <v>1894.14</v>
      </c>
      <c r="C23" s="12">
        <v>1894.056</v>
      </c>
      <c r="E23">
        <v>0</v>
      </c>
      <c r="G23" s="14">
        <f t="shared" si="0"/>
        <v>8.4000000000060027E-2</v>
      </c>
    </row>
    <row r="24" spans="1:7" x14ac:dyDescent="0.35">
      <c r="A24" t="s">
        <v>18</v>
      </c>
      <c r="B24">
        <v>99.608999999999995</v>
      </c>
      <c r="C24">
        <v>99.563000000000002</v>
      </c>
      <c r="E24">
        <v>0.05</v>
      </c>
      <c r="G24" s="14">
        <f t="shared" si="0"/>
        <v>4.5999999999992269E-2</v>
      </c>
    </row>
    <row r="25" spans="1:7" x14ac:dyDescent="0.35">
      <c r="A25" t="s">
        <v>19</v>
      </c>
      <c r="B25">
        <v>100.26</v>
      </c>
      <c r="C25">
        <v>100.23</v>
      </c>
      <c r="E25">
        <v>0.03</v>
      </c>
      <c r="G25" s="14">
        <f t="shared" si="0"/>
        <v>3.0000000000001137E-2</v>
      </c>
    </row>
    <row r="26" spans="1:7" x14ac:dyDescent="0.35">
      <c r="A26" t="s">
        <v>20</v>
      </c>
      <c r="B26">
        <v>99.992000000000004</v>
      </c>
      <c r="C26">
        <v>99.960999999999999</v>
      </c>
      <c r="E26">
        <v>0.03</v>
      </c>
      <c r="G26" s="14">
        <f t="shared" si="0"/>
        <v>3.1000000000005912E-2</v>
      </c>
    </row>
    <row r="27" spans="1:7" x14ac:dyDescent="0.35">
      <c r="A27" t="s">
        <v>21</v>
      </c>
      <c r="B27">
        <v>0.78500000000000003</v>
      </c>
      <c r="C27">
        <v>0.80500000000000005</v>
      </c>
      <c r="E27">
        <v>-2.48</v>
      </c>
      <c r="G27" s="14">
        <f t="shared" si="0"/>
        <v>-2.0000000000000018E-2</v>
      </c>
    </row>
    <row r="28" spans="1:7" x14ac:dyDescent="0.35">
      <c r="A28" t="s">
        <v>22</v>
      </c>
      <c r="B28">
        <v>0.94499999999999995</v>
      </c>
      <c r="C28">
        <v>0.94499999999999995</v>
      </c>
      <c r="E28">
        <v>0</v>
      </c>
      <c r="G28" s="14">
        <f t="shared" si="0"/>
        <v>0</v>
      </c>
    </row>
    <row r="29" spans="1:7" x14ac:dyDescent="0.35">
      <c r="A29" t="s">
        <v>23</v>
      </c>
      <c r="B29">
        <v>100.688</v>
      </c>
      <c r="C29">
        <v>100.797</v>
      </c>
      <c r="E29">
        <v>-0.11</v>
      </c>
      <c r="G29" s="14">
        <f t="shared" si="0"/>
        <v>-0.10899999999999466</v>
      </c>
    </row>
    <row r="30" spans="1:7" x14ac:dyDescent="0.35">
      <c r="A30" t="s">
        <v>24</v>
      </c>
      <c r="B30" s="12">
        <v>15506.47</v>
      </c>
      <c r="C30" s="12">
        <v>15649.54</v>
      </c>
      <c r="E30">
        <v>-0.91</v>
      </c>
      <c r="G30" s="14">
        <f t="shared" si="0"/>
        <v>-143.07000000000153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0.7265625" style="14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42853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20940.509999999998</v>
      </c>
      <c r="C7" s="7">
        <v>20981.33</v>
      </c>
      <c r="D7" s="3"/>
      <c r="E7" s="10">
        <v>-0.19</v>
      </c>
      <c r="G7" s="14">
        <f>B7-C7</f>
        <v>-40.820000000003347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1732.64</v>
      </c>
      <c r="C9" s="7">
        <v>1749.42</v>
      </c>
      <c r="D9" s="3"/>
      <c r="E9" s="10">
        <v>-0.96</v>
      </c>
      <c r="G9" s="14">
        <f t="shared" ref="G9:G30" si="0">B9-C9</f>
        <v>-16.779999999999973</v>
      </c>
    </row>
    <row r="10" spans="1:7" ht="15.5" x14ac:dyDescent="0.35">
      <c r="A10" s="6" t="s">
        <v>7</v>
      </c>
      <c r="B10" s="7">
        <v>2384.12</v>
      </c>
      <c r="C10" s="7">
        <v>2388.86</v>
      </c>
      <c r="D10" s="3"/>
      <c r="E10" s="10">
        <v>-0.2</v>
      </c>
      <c r="G10" s="14">
        <f t="shared" si="0"/>
        <v>-4.7400000000002365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1322.3510000000001</v>
      </c>
      <c r="C12" s="7">
        <v>1325.779</v>
      </c>
      <c r="D12" s="2"/>
      <c r="E12" s="10">
        <v>-0.26</v>
      </c>
      <c r="G12" s="14">
        <f t="shared" si="0"/>
        <v>-3.4279999999998836</v>
      </c>
    </row>
    <row r="13" spans="1:7" ht="15.5" x14ac:dyDescent="0.35">
      <c r="A13" s="6" t="s">
        <v>9</v>
      </c>
      <c r="B13" s="7">
        <v>1400.1179999999999</v>
      </c>
      <c r="C13" s="7">
        <v>1417.165</v>
      </c>
      <c r="D13" s="2"/>
      <c r="E13" s="10">
        <v>-1.2</v>
      </c>
      <c r="G13" s="14">
        <f t="shared" si="0"/>
        <v>-17.047000000000025</v>
      </c>
    </row>
    <row r="14" spans="1:7" ht="15.5" x14ac:dyDescent="0.35">
      <c r="A14" s="6" t="s">
        <v>10</v>
      </c>
      <c r="B14" s="7">
        <v>1414.7170000000001</v>
      </c>
      <c r="C14" s="7">
        <v>1419.4459999999999</v>
      </c>
      <c r="D14" s="2"/>
      <c r="E14" s="10">
        <v>-0.33</v>
      </c>
      <c r="G14" s="14">
        <f t="shared" si="0"/>
        <v>-4.7289999999998145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11535.77</v>
      </c>
      <c r="C16" s="7">
        <v>11578.61</v>
      </c>
      <c r="D16" s="3"/>
      <c r="E16" s="10">
        <v>-0.37</v>
      </c>
      <c r="G16" s="14">
        <f t="shared" si="0"/>
        <v>-42.840000000000146</v>
      </c>
    </row>
    <row r="17" spans="1:7" ht="15.5" x14ac:dyDescent="0.35">
      <c r="A17" s="6" t="s">
        <v>12</v>
      </c>
      <c r="B17" s="7">
        <v>6047.6059999999998</v>
      </c>
      <c r="C17" s="7">
        <v>6048.9369999999999</v>
      </c>
      <c r="D17" s="3"/>
      <c r="E17" s="10">
        <v>-0.02</v>
      </c>
      <c r="G17" s="14">
        <f t="shared" si="0"/>
        <v>-1.331000000000131</v>
      </c>
    </row>
    <row r="18" spans="1:7" ht="15.5" x14ac:dyDescent="0.35">
      <c r="A18" s="6" t="s">
        <v>13</v>
      </c>
      <c r="B18" s="7">
        <v>2529.4</v>
      </c>
      <c r="C18" s="7">
        <v>2529.8820000000001</v>
      </c>
      <c r="D18" s="3"/>
      <c r="E18" s="10">
        <v>-0.02</v>
      </c>
      <c r="G18" s="14">
        <f t="shared" si="0"/>
        <v>-0.4819999999999709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1878.28</v>
      </c>
      <c r="C20" s="7">
        <v>1881.87</v>
      </c>
      <c r="D20" s="2"/>
      <c r="E20" s="10">
        <v>-0.19</v>
      </c>
      <c r="G20" s="14">
        <f t="shared" si="0"/>
        <v>-3.5899999999999181</v>
      </c>
    </row>
    <row r="21" spans="1:7" ht="15.5" x14ac:dyDescent="0.35">
      <c r="A21" s="6" t="s">
        <v>15</v>
      </c>
      <c r="B21" s="7">
        <v>1834.57</v>
      </c>
      <c r="C21" s="7">
        <v>1837.61</v>
      </c>
      <c r="D21" s="2"/>
      <c r="E21" s="10">
        <v>-0.17</v>
      </c>
      <c r="G21" s="14">
        <f t="shared" si="0"/>
        <v>-3.0399999999999636</v>
      </c>
    </row>
    <row r="22" spans="1:7" ht="31" x14ac:dyDescent="0.35">
      <c r="A22" s="6" t="s">
        <v>16</v>
      </c>
      <c r="B22" s="9">
        <v>977.96</v>
      </c>
      <c r="C22" s="9">
        <v>979.2</v>
      </c>
      <c r="D22" s="2"/>
      <c r="E22" s="10">
        <v>-0.13</v>
      </c>
      <c r="G22" s="14">
        <f t="shared" si="0"/>
        <v>-1.2400000000000091</v>
      </c>
    </row>
    <row r="23" spans="1:7" ht="15.5" x14ac:dyDescent="0.35">
      <c r="A23" s="6" t="s">
        <v>17</v>
      </c>
      <c r="B23" s="7">
        <v>1880.85</v>
      </c>
      <c r="C23" s="7">
        <v>1894.1379999999999</v>
      </c>
      <c r="D23" s="3"/>
      <c r="E23" s="10">
        <v>-0.7</v>
      </c>
      <c r="G23" s="14">
        <f t="shared" si="0"/>
        <v>-13.288000000000011</v>
      </c>
    </row>
    <row r="24" spans="1:7" ht="15.5" x14ac:dyDescent="0.35">
      <c r="A24" s="6" t="s">
        <v>18</v>
      </c>
      <c r="B24" s="9">
        <v>99.688000000000002</v>
      </c>
      <c r="C24" s="9">
        <v>99.608999999999995</v>
      </c>
      <c r="D24" s="3"/>
      <c r="E24" s="8">
        <v>0.08</v>
      </c>
      <c r="G24" s="14">
        <f t="shared" si="0"/>
        <v>7.9000000000007731E-2</v>
      </c>
    </row>
    <row r="25" spans="1:7" ht="15.5" x14ac:dyDescent="0.35">
      <c r="A25" s="6" t="s">
        <v>19</v>
      </c>
      <c r="B25" s="9">
        <v>100.28100000000001</v>
      </c>
      <c r="C25" s="9">
        <v>100.26</v>
      </c>
      <c r="D25" s="3"/>
      <c r="E25" s="8">
        <v>0.02</v>
      </c>
      <c r="G25" s="14">
        <f t="shared" si="0"/>
        <v>2.1000000000000796E-2</v>
      </c>
    </row>
    <row r="26" spans="1:7" ht="15.5" x14ac:dyDescent="0.35">
      <c r="A26" s="6" t="s">
        <v>20</v>
      </c>
      <c r="B26" s="9">
        <v>99.977000000000004</v>
      </c>
      <c r="C26" s="9">
        <v>99.992000000000004</v>
      </c>
      <c r="D26" s="3"/>
      <c r="E26" s="10">
        <v>-0.02</v>
      </c>
      <c r="G26" s="14">
        <f t="shared" si="0"/>
        <v>-1.5000000000000568E-2</v>
      </c>
    </row>
    <row r="27" spans="1:7" x14ac:dyDescent="0.35">
      <c r="A27" s="11" t="s">
        <v>21</v>
      </c>
      <c r="B27" s="9">
        <v>0.78</v>
      </c>
      <c r="C27" s="9">
        <v>0.78500000000000003</v>
      </c>
      <c r="D27" s="3"/>
      <c r="E27" s="10">
        <v>-0.64</v>
      </c>
      <c r="G27" s="14">
        <f t="shared" si="0"/>
        <v>-5.0000000000000044E-3</v>
      </c>
    </row>
    <row r="28" spans="1:7" x14ac:dyDescent="0.35">
      <c r="A28" s="11" t="s">
        <v>22</v>
      </c>
      <c r="B28" s="9">
        <v>0.95</v>
      </c>
      <c r="C28" s="9">
        <v>0.94499999999999995</v>
      </c>
      <c r="D28" s="3"/>
      <c r="E28" s="8">
        <v>0.53</v>
      </c>
      <c r="G28" s="14">
        <f t="shared" si="0"/>
        <v>5.0000000000000044E-3</v>
      </c>
    </row>
    <row r="29" spans="1:7" ht="15.5" x14ac:dyDescent="0.35">
      <c r="A29" s="6" t="s">
        <v>23</v>
      </c>
      <c r="B29" s="9">
        <v>100.89100000000001</v>
      </c>
      <c r="C29" s="9">
        <v>100.688</v>
      </c>
      <c r="D29" s="3"/>
      <c r="E29" s="8">
        <v>0.2</v>
      </c>
      <c r="G29" s="14">
        <f t="shared" si="0"/>
        <v>0.20300000000000296</v>
      </c>
    </row>
    <row r="30" spans="1:7" ht="15.5" x14ac:dyDescent="0.35">
      <c r="A30" s="6" t="s">
        <v>24</v>
      </c>
      <c r="B30" s="7">
        <v>15586.13</v>
      </c>
      <c r="C30" s="7">
        <v>15506.47</v>
      </c>
      <c r="D30" s="3"/>
      <c r="E30" s="8">
        <v>0.51</v>
      </c>
      <c r="G30" s="14">
        <f t="shared" si="0"/>
        <v>79.659999999999854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6" max="6" width="9.1796875" style="13"/>
    <col min="7" max="7" width="10.7265625" style="14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42857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20949.89</v>
      </c>
      <c r="C7" s="7">
        <v>20913.46</v>
      </c>
      <c r="D7" s="3"/>
      <c r="E7" s="8">
        <v>0.17</v>
      </c>
      <c r="G7" s="14">
        <f>B7-C7</f>
        <v>36.430000000000291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1734.68</v>
      </c>
      <c r="C9" s="7">
        <v>1737.37</v>
      </c>
      <c r="D9" s="3"/>
      <c r="E9" s="10">
        <v>-0.15</v>
      </c>
      <c r="G9" s="14">
        <f t="shared" ref="G9:G30" si="0">B9-C9</f>
        <v>-2.6899999999998272</v>
      </c>
    </row>
    <row r="10" spans="1:7" ht="15.5" x14ac:dyDescent="0.35">
      <c r="A10" s="6" t="s">
        <v>7</v>
      </c>
      <c r="B10" s="7">
        <v>2391.02</v>
      </c>
      <c r="C10" s="7">
        <v>2388.81</v>
      </c>
      <c r="D10" s="3"/>
      <c r="E10" s="8">
        <v>0.09</v>
      </c>
      <c r="G10" s="14">
        <f t="shared" si="0"/>
        <v>2.2100000000000364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1326.1410000000001</v>
      </c>
      <c r="C12" s="7">
        <v>1325.231</v>
      </c>
      <c r="D12" s="2"/>
      <c r="E12" s="8">
        <v>7.0000000000000007E-2</v>
      </c>
      <c r="G12" s="14">
        <f t="shared" si="0"/>
        <v>0.91000000000008185</v>
      </c>
    </row>
    <row r="13" spans="1:7" ht="15.5" x14ac:dyDescent="0.35">
      <c r="A13" s="6" t="s">
        <v>9</v>
      </c>
      <c r="B13" s="7">
        <v>1399.2809999999999</v>
      </c>
      <c r="C13" s="7">
        <v>1407.31</v>
      </c>
      <c r="D13" s="2"/>
      <c r="E13" s="10">
        <v>-0.56999999999999995</v>
      </c>
      <c r="G13" s="14">
        <f t="shared" si="0"/>
        <v>-8.0289999999999964</v>
      </c>
    </row>
    <row r="14" spans="1:7" ht="15.5" x14ac:dyDescent="0.35">
      <c r="A14" s="6" t="s">
        <v>10</v>
      </c>
      <c r="B14" s="7">
        <v>1418.395</v>
      </c>
      <c r="C14" s="7">
        <v>1418.1659999999999</v>
      </c>
      <c r="D14" s="2"/>
      <c r="E14" s="8">
        <v>0.02</v>
      </c>
      <c r="G14" s="14">
        <f t="shared" si="0"/>
        <v>0.22900000000004184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11551.02</v>
      </c>
      <c r="C16" s="7">
        <v>11536.87</v>
      </c>
      <c r="D16" s="3"/>
      <c r="E16" s="8">
        <v>0.12</v>
      </c>
      <c r="G16" s="14">
        <f t="shared" si="0"/>
        <v>14.149999999999636</v>
      </c>
    </row>
    <row r="17" spans="1:7" ht="15.5" x14ac:dyDescent="0.35">
      <c r="A17" s="6" t="s">
        <v>12</v>
      </c>
      <c r="B17" s="7">
        <v>6095.366</v>
      </c>
      <c r="C17" s="7">
        <v>6091.6019999999999</v>
      </c>
      <c r="D17" s="3"/>
      <c r="E17" s="8">
        <v>0.06</v>
      </c>
      <c r="G17" s="14">
        <f t="shared" si="0"/>
        <v>3.7640000000001237</v>
      </c>
    </row>
    <row r="18" spans="1:7" ht="15.5" x14ac:dyDescent="0.35">
      <c r="A18" s="6" t="s">
        <v>13</v>
      </c>
      <c r="B18" s="7">
        <v>2528.2979999999998</v>
      </c>
      <c r="C18" s="7">
        <v>2517.7510000000002</v>
      </c>
      <c r="D18" s="3"/>
      <c r="E18" s="8">
        <v>0.42</v>
      </c>
      <c r="G18" s="14">
        <f t="shared" si="0"/>
        <v>10.546999999999571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1887.25</v>
      </c>
      <c r="C20" s="7">
        <v>1882.49</v>
      </c>
      <c r="D20" s="2"/>
      <c r="E20" s="8">
        <v>0.25</v>
      </c>
      <c r="G20" s="14">
        <f t="shared" si="0"/>
        <v>4.7599999999999909</v>
      </c>
    </row>
    <row r="21" spans="1:7" ht="15.5" x14ac:dyDescent="0.35">
      <c r="A21" s="6" t="s">
        <v>15</v>
      </c>
      <c r="B21" s="7">
        <v>1849.22</v>
      </c>
      <c r="C21" s="7">
        <v>1838.76</v>
      </c>
      <c r="D21" s="2"/>
      <c r="E21" s="8">
        <v>0.56999999999999995</v>
      </c>
      <c r="G21" s="14">
        <f t="shared" si="0"/>
        <v>10.460000000000036</v>
      </c>
    </row>
    <row r="22" spans="1:7" ht="31" x14ac:dyDescent="0.35">
      <c r="A22" s="6" t="s">
        <v>16</v>
      </c>
      <c r="B22" s="9">
        <v>988.5</v>
      </c>
      <c r="C22" s="9">
        <v>979.76</v>
      </c>
      <c r="D22" s="2"/>
      <c r="E22" s="8">
        <v>0.89</v>
      </c>
      <c r="G22" s="14">
        <f t="shared" si="0"/>
        <v>8.7400000000000091</v>
      </c>
    </row>
    <row r="23" spans="1:7" ht="15.5" x14ac:dyDescent="0.35">
      <c r="A23" s="6" t="s">
        <v>17</v>
      </c>
      <c r="B23" s="7">
        <v>1883.99</v>
      </c>
      <c r="C23" s="7">
        <v>1883.0809999999999</v>
      </c>
      <c r="D23" s="3"/>
      <c r="E23" s="8">
        <v>0.05</v>
      </c>
      <c r="G23" s="14">
        <f t="shared" si="0"/>
        <v>0.9090000000001055</v>
      </c>
    </row>
    <row r="24" spans="1:7" ht="15.5" x14ac:dyDescent="0.35">
      <c r="A24" s="6" t="s">
        <v>18</v>
      </c>
      <c r="B24" s="9">
        <v>99.647999999999996</v>
      </c>
      <c r="C24" s="9">
        <v>99.382999999999996</v>
      </c>
      <c r="D24" s="3"/>
      <c r="E24" s="8">
        <v>0.27</v>
      </c>
      <c r="G24" s="14">
        <f t="shared" si="0"/>
        <v>0.26500000000000057</v>
      </c>
    </row>
    <row r="25" spans="1:7" ht="15.5" x14ac:dyDescent="0.35">
      <c r="A25" s="6" t="s">
        <v>19</v>
      </c>
      <c r="B25" s="9">
        <v>100.309</v>
      </c>
      <c r="C25" s="9">
        <v>100.164</v>
      </c>
      <c r="D25" s="3"/>
      <c r="E25" s="8">
        <v>0.14000000000000001</v>
      </c>
      <c r="G25" s="14">
        <f t="shared" si="0"/>
        <v>0.14499999999999602</v>
      </c>
    </row>
    <row r="26" spans="1:7" ht="15.5" x14ac:dyDescent="0.35">
      <c r="A26" s="6" t="s">
        <v>20</v>
      </c>
      <c r="B26" s="9">
        <v>99.977000000000004</v>
      </c>
      <c r="C26" s="9">
        <v>99.953000000000003</v>
      </c>
      <c r="D26" s="3"/>
      <c r="E26" s="8">
        <v>0.02</v>
      </c>
      <c r="G26" s="14">
        <f t="shared" si="0"/>
        <v>2.4000000000000909E-2</v>
      </c>
    </row>
    <row r="27" spans="1:7" x14ac:dyDescent="0.35">
      <c r="A27" s="11" t="s">
        <v>21</v>
      </c>
      <c r="B27" s="9">
        <v>0.83</v>
      </c>
      <c r="C27" s="9">
        <v>0.8</v>
      </c>
      <c r="D27" s="3"/>
      <c r="E27" s="8">
        <v>3.75</v>
      </c>
      <c r="G27" s="14">
        <f t="shared" si="0"/>
        <v>2.9999999999999916E-2</v>
      </c>
    </row>
    <row r="28" spans="1:7" x14ac:dyDescent="0.35">
      <c r="A28" s="11" t="s">
        <v>22</v>
      </c>
      <c r="B28" s="9">
        <v>0.96499999999999997</v>
      </c>
      <c r="C28" s="9">
        <v>0.95</v>
      </c>
      <c r="D28" s="3"/>
      <c r="E28" s="8">
        <v>1.58</v>
      </c>
      <c r="G28" s="14">
        <f t="shared" si="0"/>
        <v>1.5000000000000013E-2</v>
      </c>
    </row>
    <row r="29" spans="1:7" ht="15.5" x14ac:dyDescent="0.35">
      <c r="A29" s="6" t="s">
        <v>23</v>
      </c>
      <c r="B29" s="9">
        <v>100.438</v>
      </c>
      <c r="C29" s="9">
        <v>99.875</v>
      </c>
      <c r="D29" s="3"/>
      <c r="E29" s="8">
        <v>0.56000000000000005</v>
      </c>
      <c r="G29" s="14">
        <f t="shared" si="0"/>
        <v>0.56300000000000239</v>
      </c>
    </row>
    <row r="30" spans="1:7" ht="15.5" x14ac:dyDescent="0.35">
      <c r="A30" s="6" t="s">
        <v>24</v>
      </c>
      <c r="B30" s="7">
        <v>15619.65</v>
      </c>
      <c r="C30" s="7">
        <v>15575.63</v>
      </c>
      <c r="D30" s="3"/>
      <c r="E30" s="8">
        <v>0.28000000000000003</v>
      </c>
      <c r="G30" s="14">
        <f t="shared" si="0"/>
        <v>44.020000000000437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4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42858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20957.900000000001</v>
      </c>
      <c r="C7" s="7">
        <v>20949.89</v>
      </c>
      <c r="D7" s="3"/>
      <c r="E7" s="8">
        <v>0.04</v>
      </c>
      <c r="G7" s="14">
        <f>B7-C7</f>
        <v>8.0100000000020373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1727.4</v>
      </c>
      <c r="C9" s="7">
        <v>1734.68</v>
      </c>
      <c r="D9" s="3"/>
      <c r="E9" s="10">
        <v>-0.42</v>
      </c>
      <c r="G9" s="14">
        <f t="shared" ref="G9:G30" si="0">B9-C9</f>
        <v>-7.2799999999999727</v>
      </c>
    </row>
    <row r="10" spans="1:7" ht="15.5" x14ac:dyDescent="0.35">
      <c r="A10" s="6" t="s">
        <v>7</v>
      </c>
      <c r="B10" s="7">
        <v>2387.92</v>
      </c>
      <c r="C10" s="7">
        <v>2391.02</v>
      </c>
      <c r="D10" s="3"/>
      <c r="E10" s="10">
        <v>-0.13</v>
      </c>
      <c r="G10" s="14">
        <f t="shared" si="0"/>
        <v>-3.0999999999999091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1323.729</v>
      </c>
      <c r="C12" s="7">
        <v>1326.1410000000001</v>
      </c>
      <c r="D12" s="2"/>
      <c r="E12" s="10">
        <v>-0.18</v>
      </c>
      <c r="G12" s="14">
        <f t="shared" si="0"/>
        <v>-2.4120000000000346</v>
      </c>
    </row>
    <row r="13" spans="1:7" ht="15.5" x14ac:dyDescent="0.35">
      <c r="A13" s="6" t="s">
        <v>9</v>
      </c>
      <c r="B13" s="7">
        <v>1391.02</v>
      </c>
      <c r="C13" s="7">
        <v>1399.2809999999999</v>
      </c>
      <c r="D13" s="2"/>
      <c r="E13" s="10">
        <v>-0.59</v>
      </c>
      <c r="G13" s="14">
        <f t="shared" si="0"/>
        <v>-8.2609999999999673</v>
      </c>
    </row>
    <row r="14" spans="1:7" ht="15.5" x14ac:dyDescent="0.35">
      <c r="A14" s="6" t="s">
        <v>10</v>
      </c>
      <c r="B14" s="7">
        <v>1415.3789999999999</v>
      </c>
      <c r="C14" s="7">
        <v>1418.395</v>
      </c>
      <c r="D14" s="2"/>
      <c r="E14" s="10">
        <v>-0.21</v>
      </c>
      <c r="G14" s="14">
        <f t="shared" si="0"/>
        <v>-3.0160000000000764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11529.33</v>
      </c>
      <c r="C16" s="7">
        <v>11551.02</v>
      </c>
      <c r="D16" s="3"/>
      <c r="E16" s="10">
        <v>-0.19</v>
      </c>
      <c r="G16" s="14">
        <f t="shared" si="0"/>
        <v>-21.690000000000509</v>
      </c>
    </row>
    <row r="17" spans="1:7" ht="15.5" x14ac:dyDescent="0.35">
      <c r="A17" s="6" t="s">
        <v>12</v>
      </c>
      <c r="B17" s="7">
        <v>6072.55</v>
      </c>
      <c r="C17" s="7">
        <v>6095.366</v>
      </c>
      <c r="D17" s="3"/>
      <c r="E17" s="10">
        <v>-0.37</v>
      </c>
      <c r="G17" s="14">
        <f t="shared" si="0"/>
        <v>-22.815999999999804</v>
      </c>
    </row>
    <row r="18" spans="1:7" ht="15.5" x14ac:dyDescent="0.35">
      <c r="A18" s="6" t="s">
        <v>13</v>
      </c>
      <c r="B18" s="7">
        <v>2515.5279999999998</v>
      </c>
      <c r="C18" s="7">
        <v>2528.2979999999998</v>
      </c>
      <c r="D18" s="3"/>
      <c r="E18" s="10">
        <v>-0.51</v>
      </c>
      <c r="G18" s="14">
        <f t="shared" si="0"/>
        <v>-12.769999999999982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1883.13</v>
      </c>
      <c r="C20" s="7">
        <v>1887.25</v>
      </c>
      <c r="D20" s="2"/>
      <c r="E20" s="10">
        <v>-0.22</v>
      </c>
      <c r="G20" s="14">
        <f t="shared" si="0"/>
        <v>-4.1199999999998909</v>
      </c>
    </row>
    <row r="21" spans="1:7" ht="15.5" x14ac:dyDescent="0.35">
      <c r="A21" s="6" t="s">
        <v>15</v>
      </c>
      <c r="B21" s="7">
        <v>1844.03</v>
      </c>
      <c r="C21" s="7">
        <v>1849.22</v>
      </c>
      <c r="D21" s="2"/>
      <c r="E21" s="10">
        <v>-0.28000000000000003</v>
      </c>
      <c r="G21" s="14">
        <f t="shared" si="0"/>
        <v>-5.1900000000000546</v>
      </c>
    </row>
    <row r="22" spans="1:7" ht="31" x14ac:dyDescent="0.35">
      <c r="A22" s="6" t="s">
        <v>16</v>
      </c>
      <c r="B22" s="9">
        <v>985.74</v>
      </c>
      <c r="C22" s="9">
        <v>988.5</v>
      </c>
      <c r="D22" s="2"/>
      <c r="E22" s="10">
        <v>-0.28000000000000003</v>
      </c>
      <c r="G22" s="14">
        <f t="shared" si="0"/>
        <v>-2.7599999999999909</v>
      </c>
    </row>
    <row r="23" spans="1:7" ht="15.5" x14ac:dyDescent="0.35">
      <c r="A23" s="6" t="s">
        <v>17</v>
      </c>
      <c r="B23" s="7">
        <v>1875.79</v>
      </c>
      <c r="C23" s="7">
        <v>1883.9860000000001</v>
      </c>
      <c r="D23" s="3"/>
      <c r="E23" s="10">
        <v>-0.44</v>
      </c>
      <c r="G23" s="14">
        <f t="shared" si="0"/>
        <v>-8.1960000000001401</v>
      </c>
    </row>
    <row r="24" spans="1:7" ht="15.5" x14ac:dyDescent="0.35">
      <c r="A24" s="6" t="s">
        <v>18</v>
      </c>
      <c r="B24" s="9">
        <v>99.382999999999996</v>
      </c>
      <c r="C24" s="9">
        <v>99.647999999999996</v>
      </c>
      <c r="D24" s="3"/>
      <c r="E24" s="10">
        <v>-0.27</v>
      </c>
      <c r="G24" s="14">
        <f t="shared" si="0"/>
        <v>-0.26500000000000057</v>
      </c>
    </row>
    <row r="25" spans="1:7" ht="15.5" x14ac:dyDescent="0.35">
      <c r="A25" s="6" t="s">
        <v>19</v>
      </c>
      <c r="B25" s="9">
        <v>100.098</v>
      </c>
      <c r="C25" s="9">
        <v>100.309</v>
      </c>
      <c r="D25" s="3"/>
      <c r="E25" s="10">
        <v>-0.21</v>
      </c>
      <c r="G25" s="14">
        <f t="shared" si="0"/>
        <v>-0.21099999999999852</v>
      </c>
    </row>
    <row r="26" spans="1:7" ht="15.5" x14ac:dyDescent="0.35">
      <c r="A26" s="6" t="s">
        <v>20</v>
      </c>
      <c r="B26" s="9">
        <v>99.91</v>
      </c>
      <c r="C26" s="9">
        <v>99.977000000000004</v>
      </c>
      <c r="D26" s="3"/>
      <c r="E26" s="10">
        <v>-7.0000000000000007E-2</v>
      </c>
      <c r="G26" s="14">
        <f t="shared" si="0"/>
        <v>-6.7000000000007276E-2</v>
      </c>
    </row>
    <row r="27" spans="1:7" x14ac:dyDescent="0.35">
      <c r="A27" s="11" t="s">
        <v>21</v>
      </c>
      <c r="B27" s="9">
        <v>0.84499999999999997</v>
      </c>
      <c r="C27" s="9">
        <v>0.83</v>
      </c>
      <c r="D27" s="3"/>
      <c r="E27" s="8">
        <v>1.81</v>
      </c>
      <c r="G27" s="14">
        <f t="shared" si="0"/>
        <v>1.5000000000000013E-2</v>
      </c>
    </row>
    <row r="28" spans="1:7" x14ac:dyDescent="0.35">
      <c r="A28" s="11" t="s">
        <v>22</v>
      </c>
      <c r="B28" s="9">
        <v>0.97</v>
      </c>
      <c r="C28" s="9">
        <v>0.96499999999999997</v>
      </c>
      <c r="D28" s="3"/>
      <c r="E28" s="8">
        <v>0.52</v>
      </c>
      <c r="G28" s="14">
        <f t="shared" si="0"/>
        <v>5.0000000000000044E-3</v>
      </c>
    </row>
    <row r="29" spans="1:7" ht="15.5" x14ac:dyDescent="0.35">
      <c r="A29" s="6" t="s">
        <v>23</v>
      </c>
      <c r="B29" s="9">
        <v>100.563</v>
      </c>
      <c r="C29" s="9">
        <v>100.438</v>
      </c>
      <c r="D29" s="3"/>
      <c r="E29" s="8">
        <v>0.12</v>
      </c>
      <c r="G29" s="14">
        <f t="shared" si="0"/>
        <v>0.125</v>
      </c>
    </row>
    <row r="30" spans="1:7" ht="15.5" x14ac:dyDescent="0.35">
      <c r="A30" s="6" t="s">
        <v>24</v>
      </c>
      <c r="B30" s="7">
        <v>15543.14</v>
      </c>
      <c r="C30" s="7">
        <v>15619.65</v>
      </c>
      <c r="D30" s="3"/>
      <c r="E30" s="10">
        <v>-0.49</v>
      </c>
      <c r="G30" s="14">
        <f t="shared" si="0"/>
        <v>-76.510000000000218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5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42859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20951.47</v>
      </c>
      <c r="C7" s="7">
        <v>20957.900000000001</v>
      </c>
      <c r="D7" s="3"/>
      <c r="E7" s="10">
        <v>-0.03</v>
      </c>
      <c r="G7" s="15">
        <f>B7-C7</f>
        <v>-6.430000000000291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1724.16</v>
      </c>
      <c r="C9" s="7">
        <v>1727.4</v>
      </c>
      <c r="D9" s="3"/>
      <c r="E9" s="10">
        <v>-0.19</v>
      </c>
      <c r="G9" s="15">
        <f t="shared" ref="G9:G30" si="0">B9-C9</f>
        <v>-3.2400000000000091</v>
      </c>
    </row>
    <row r="10" spans="1:7" ht="15.5" x14ac:dyDescent="0.35">
      <c r="A10" s="6" t="s">
        <v>7</v>
      </c>
      <c r="B10" s="7">
        <v>2389.5</v>
      </c>
      <c r="C10" s="7">
        <v>2387.92</v>
      </c>
      <c r="D10" s="3"/>
      <c r="E10" s="8">
        <v>7.0000000000000007E-2</v>
      </c>
      <c r="G10" s="15">
        <f t="shared" si="0"/>
        <v>1.5799999999999272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1324.0309999999999</v>
      </c>
      <c r="C12" s="7">
        <v>1323.729</v>
      </c>
      <c r="D12" s="2"/>
      <c r="E12" s="8">
        <v>0.02</v>
      </c>
      <c r="G12" s="15">
        <f t="shared" si="0"/>
        <v>0.30199999999990723</v>
      </c>
    </row>
    <row r="13" spans="1:7" ht="15.5" x14ac:dyDescent="0.35">
      <c r="A13" s="6" t="s">
        <v>9</v>
      </c>
      <c r="B13" s="7">
        <v>1388.86</v>
      </c>
      <c r="C13" s="7">
        <v>1391.02</v>
      </c>
      <c r="D13" s="2"/>
      <c r="E13" s="10">
        <v>-0.16</v>
      </c>
      <c r="G13" s="15">
        <f t="shared" si="0"/>
        <v>-2.1600000000000819</v>
      </c>
    </row>
    <row r="14" spans="1:7" ht="15.5" x14ac:dyDescent="0.35">
      <c r="A14" s="6" t="s">
        <v>10</v>
      </c>
      <c r="B14" s="7">
        <v>1415.518</v>
      </c>
      <c r="C14" s="7">
        <v>1415.3789999999999</v>
      </c>
      <c r="D14" s="2"/>
      <c r="E14" s="8">
        <v>0.01</v>
      </c>
      <c r="G14" s="15">
        <f t="shared" si="0"/>
        <v>0.13900000000012369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11534.76</v>
      </c>
      <c r="C16" s="7">
        <v>11529.33</v>
      </c>
      <c r="D16" s="3"/>
      <c r="E16" s="8">
        <v>0.05</v>
      </c>
      <c r="G16" s="15">
        <f t="shared" si="0"/>
        <v>5.430000000000291</v>
      </c>
    </row>
    <row r="17" spans="1:7" ht="15.5" x14ac:dyDescent="0.35">
      <c r="A17" s="6" t="s">
        <v>12</v>
      </c>
      <c r="B17" s="7">
        <v>6075.3370000000004</v>
      </c>
      <c r="C17" s="7">
        <v>6072.55</v>
      </c>
      <c r="D17" s="3"/>
      <c r="E17" s="8">
        <v>0.05</v>
      </c>
      <c r="G17" s="15">
        <f t="shared" si="0"/>
        <v>2.7870000000002619</v>
      </c>
    </row>
    <row r="18" spans="1:7" ht="15.5" x14ac:dyDescent="0.35">
      <c r="A18" s="6" t="s">
        <v>13</v>
      </c>
      <c r="B18" s="7">
        <v>2501.1779999999999</v>
      </c>
      <c r="C18" s="7">
        <v>2515.5279999999998</v>
      </c>
      <c r="D18" s="3"/>
      <c r="E18" s="10">
        <v>-0.56999999999999995</v>
      </c>
      <c r="G18" s="15">
        <f t="shared" si="0"/>
        <v>-14.349999999999909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1886.48</v>
      </c>
      <c r="C20" s="7">
        <v>1883.13</v>
      </c>
      <c r="D20" s="2"/>
      <c r="E20" s="8">
        <v>0.18</v>
      </c>
      <c r="G20" s="15">
        <f t="shared" si="0"/>
        <v>3.3499999999999091</v>
      </c>
    </row>
    <row r="21" spans="1:7" ht="15.5" x14ac:dyDescent="0.35">
      <c r="A21" s="6" t="s">
        <v>15</v>
      </c>
      <c r="B21" s="7">
        <v>1853.24</v>
      </c>
      <c r="C21" s="7">
        <v>1844.03</v>
      </c>
      <c r="D21" s="2"/>
      <c r="E21" s="8">
        <v>0.5</v>
      </c>
      <c r="G21" s="15">
        <f t="shared" si="0"/>
        <v>9.2100000000000364</v>
      </c>
    </row>
    <row r="22" spans="1:7" ht="31" x14ac:dyDescent="0.35">
      <c r="A22" s="6" t="s">
        <v>16</v>
      </c>
      <c r="B22" s="9">
        <v>980.07</v>
      </c>
      <c r="C22" s="9">
        <v>985.74</v>
      </c>
      <c r="D22" s="2"/>
      <c r="E22" s="10">
        <v>-0.57999999999999996</v>
      </c>
      <c r="G22" s="15">
        <f t="shared" si="0"/>
        <v>-5.6699999999999591</v>
      </c>
    </row>
    <row r="23" spans="1:7" ht="15.5" x14ac:dyDescent="0.35">
      <c r="A23" s="6" t="s">
        <v>17</v>
      </c>
      <c r="B23" s="7">
        <v>1874.09</v>
      </c>
      <c r="C23" s="7">
        <v>1875.7850000000001</v>
      </c>
      <c r="D23" s="3"/>
      <c r="E23" s="10">
        <v>-0.09</v>
      </c>
      <c r="G23" s="15">
        <f t="shared" si="0"/>
        <v>-1.6950000000001637</v>
      </c>
    </row>
    <row r="24" spans="1:7" ht="15.5" x14ac:dyDescent="0.35">
      <c r="A24" s="6" t="s">
        <v>18</v>
      </c>
      <c r="B24" s="9">
        <v>99.132999999999996</v>
      </c>
      <c r="C24" s="9">
        <v>99.382999999999996</v>
      </c>
      <c r="D24" s="3"/>
      <c r="E24" s="10">
        <v>-0.25</v>
      </c>
      <c r="G24" s="15">
        <f t="shared" si="0"/>
        <v>-0.25</v>
      </c>
    </row>
    <row r="25" spans="1:7" ht="15.5" x14ac:dyDescent="0.35">
      <c r="A25" s="6" t="s">
        <v>19</v>
      </c>
      <c r="B25" s="9">
        <v>99.965000000000003</v>
      </c>
      <c r="C25" s="9">
        <v>100.098</v>
      </c>
      <c r="D25" s="3"/>
      <c r="E25" s="10">
        <v>-0.13</v>
      </c>
      <c r="G25" s="15">
        <f t="shared" si="0"/>
        <v>-0.13299999999999557</v>
      </c>
    </row>
    <row r="26" spans="1:7" ht="15.5" x14ac:dyDescent="0.35">
      <c r="A26" s="6" t="s">
        <v>20</v>
      </c>
      <c r="B26" s="9">
        <v>99.887</v>
      </c>
      <c r="C26" s="9">
        <v>99.91</v>
      </c>
      <c r="D26" s="3"/>
      <c r="E26" s="10">
        <v>-0.02</v>
      </c>
      <c r="G26" s="15">
        <f t="shared" si="0"/>
        <v>-2.2999999999996135E-2</v>
      </c>
    </row>
    <row r="27" spans="1:7" x14ac:dyDescent="0.35">
      <c r="A27" s="11" t="s">
        <v>21</v>
      </c>
      <c r="B27" s="9">
        <v>0.86</v>
      </c>
      <c r="C27" s="9">
        <v>0.84499999999999997</v>
      </c>
      <c r="D27" s="3"/>
      <c r="E27" s="8">
        <v>1.78</v>
      </c>
      <c r="G27" s="15">
        <f t="shared" si="0"/>
        <v>1.5000000000000013E-2</v>
      </c>
    </row>
    <row r="28" spans="1:7" x14ac:dyDescent="0.35">
      <c r="A28" s="11" t="s">
        <v>22</v>
      </c>
      <c r="B28" s="9">
        <v>0.98499999999999999</v>
      </c>
      <c r="C28" s="9">
        <v>0.97</v>
      </c>
      <c r="D28" s="3"/>
      <c r="E28" s="8">
        <v>1.55</v>
      </c>
      <c r="G28" s="15">
        <f t="shared" si="0"/>
        <v>1.5000000000000013E-2</v>
      </c>
    </row>
    <row r="29" spans="1:7" ht="15.5" x14ac:dyDescent="0.35">
      <c r="A29" s="6" t="s">
        <v>23</v>
      </c>
      <c r="B29" s="9">
        <v>100.078</v>
      </c>
      <c r="C29" s="9">
        <v>100.563</v>
      </c>
      <c r="D29" s="3"/>
      <c r="E29" s="10">
        <v>-0.48</v>
      </c>
      <c r="G29" s="15">
        <f t="shared" si="0"/>
        <v>-0.48499999999999943</v>
      </c>
    </row>
    <row r="30" spans="1:7" ht="15.5" x14ac:dyDescent="0.35">
      <c r="A30" s="6" t="s">
        <v>24</v>
      </c>
      <c r="B30" s="7">
        <v>15396.7</v>
      </c>
      <c r="C30" s="7">
        <v>15543.14</v>
      </c>
      <c r="D30" s="3"/>
      <c r="E30" s="10">
        <v>-0.94</v>
      </c>
      <c r="G30" s="15">
        <f t="shared" si="0"/>
        <v>-146.43999999999869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5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42860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21006.94</v>
      </c>
      <c r="C7" s="7">
        <v>20951.47</v>
      </c>
      <c r="D7" s="3"/>
      <c r="E7" s="8">
        <v>0.26</v>
      </c>
      <c r="G7" s="15">
        <f>B7-C7</f>
        <v>55.469999999997526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1738.5</v>
      </c>
      <c r="C9" s="7">
        <v>1724.16</v>
      </c>
      <c r="D9" s="3"/>
      <c r="E9" s="8">
        <v>0.83</v>
      </c>
      <c r="G9" s="15">
        <f t="shared" ref="G9:G30" si="0">B9-C9</f>
        <v>14.339999999999918</v>
      </c>
    </row>
    <row r="10" spans="1:7" ht="15.5" x14ac:dyDescent="0.35">
      <c r="A10" s="6" t="s">
        <v>7</v>
      </c>
      <c r="B10" s="7">
        <v>2399.2600000000002</v>
      </c>
      <c r="C10" s="7">
        <v>2389.5</v>
      </c>
      <c r="D10" s="3"/>
      <c r="E10" s="8">
        <v>0.41</v>
      </c>
      <c r="G10" s="15">
        <f t="shared" si="0"/>
        <v>9.7600000000002183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1330.2159999999999</v>
      </c>
      <c r="C12" s="7">
        <v>1324.0309999999999</v>
      </c>
      <c r="D12" s="2"/>
      <c r="E12" s="8">
        <v>0.47</v>
      </c>
      <c r="G12" s="15">
        <f t="shared" si="0"/>
        <v>6.1849999999999454</v>
      </c>
    </row>
    <row r="13" spans="1:7" ht="15.5" x14ac:dyDescent="0.35">
      <c r="A13" s="6" t="s">
        <v>9</v>
      </c>
      <c r="B13" s="7">
        <v>1397.058</v>
      </c>
      <c r="C13" s="7">
        <v>1388.86</v>
      </c>
      <c r="D13" s="2"/>
      <c r="E13" s="8">
        <v>0.59</v>
      </c>
      <c r="G13" s="15">
        <f t="shared" si="0"/>
        <v>8.1980000000000928</v>
      </c>
    </row>
    <row r="14" spans="1:7" ht="15.5" x14ac:dyDescent="0.35">
      <c r="A14" s="6" t="s">
        <v>10</v>
      </c>
      <c r="B14" s="7">
        <v>1422.2639999999999</v>
      </c>
      <c r="C14" s="7">
        <v>1415.518</v>
      </c>
      <c r="D14" s="2"/>
      <c r="E14" s="8">
        <v>0.48</v>
      </c>
      <c r="G14" s="15">
        <f t="shared" si="0"/>
        <v>6.7459999999998672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11615.28</v>
      </c>
      <c r="C16" s="7">
        <v>11534.76</v>
      </c>
      <c r="D16" s="3"/>
      <c r="E16" s="8">
        <v>0.7</v>
      </c>
      <c r="G16" s="15">
        <f t="shared" si="0"/>
        <v>80.520000000000437</v>
      </c>
    </row>
    <row r="17" spans="1:7" ht="15.5" x14ac:dyDescent="0.35">
      <c r="A17" s="6" t="s">
        <v>12</v>
      </c>
      <c r="B17" s="7">
        <v>6100.7579999999998</v>
      </c>
      <c r="C17" s="7">
        <v>6075.3370000000004</v>
      </c>
      <c r="D17" s="3"/>
      <c r="E17" s="8">
        <v>0.42</v>
      </c>
      <c r="G17" s="15">
        <f t="shared" si="0"/>
        <v>25.420999999999367</v>
      </c>
    </row>
    <row r="18" spans="1:7" ht="15.5" x14ac:dyDescent="0.35">
      <c r="A18" s="6" t="s">
        <v>13</v>
      </c>
      <c r="B18" s="7">
        <v>2528.125</v>
      </c>
      <c r="C18" s="7">
        <v>2501.1779999999999</v>
      </c>
      <c r="D18" s="3"/>
      <c r="E18" s="8">
        <v>1.08</v>
      </c>
      <c r="G18" s="15">
        <f t="shared" si="0"/>
        <v>26.947000000000116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1897.75</v>
      </c>
      <c r="C20" s="7">
        <v>1886.48</v>
      </c>
      <c r="D20" s="2"/>
      <c r="E20" s="8">
        <v>0.6</v>
      </c>
      <c r="G20" s="15">
        <f t="shared" si="0"/>
        <v>11.269999999999982</v>
      </c>
    </row>
    <row r="21" spans="1:7" ht="15.5" x14ac:dyDescent="0.35">
      <c r="A21" s="6" t="s">
        <v>15</v>
      </c>
      <c r="B21" s="7">
        <v>1866.99</v>
      </c>
      <c r="C21" s="7">
        <v>1853.24</v>
      </c>
      <c r="D21" s="2"/>
      <c r="E21" s="8">
        <v>0.74</v>
      </c>
      <c r="G21" s="15">
        <f t="shared" si="0"/>
        <v>13.75</v>
      </c>
    </row>
    <row r="22" spans="1:7" ht="31" x14ac:dyDescent="0.35">
      <c r="A22" s="6" t="s">
        <v>16</v>
      </c>
      <c r="B22" s="9">
        <v>978.44</v>
      </c>
      <c r="C22" s="9">
        <v>980.07</v>
      </c>
      <c r="D22" s="2"/>
      <c r="E22" s="10">
        <v>-0.17</v>
      </c>
      <c r="G22" s="15">
        <f t="shared" si="0"/>
        <v>-1.6299999999999955</v>
      </c>
    </row>
    <row r="23" spans="1:7" ht="15.5" x14ac:dyDescent="0.35">
      <c r="A23" s="6" t="s">
        <v>17</v>
      </c>
      <c r="B23" s="7">
        <v>1887.87</v>
      </c>
      <c r="C23" s="7">
        <v>1874.0940000000001</v>
      </c>
      <c r="D23" s="3"/>
      <c r="E23" s="8">
        <v>0.74</v>
      </c>
      <c r="G23" s="15">
        <f t="shared" si="0"/>
        <v>13.77599999999984</v>
      </c>
    </row>
    <row r="24" spans="1:7" ht="15.5" x14ac:dyDescent="0.35">
      <c r="A24" s="6" t="s">
        <v>18</v>
      </c>
      <c r="B24" s="9">
        <v>99.108999999999995</v>
      </c>
      <c r="C24" s="9">
        <v>99.132999999999996</v>
      </c>
      <c r="D24" s="3"/>
      <c r="E24" s="10">
        <v>-0.02</v>
      </c>
      <c r="G24" s="15">
        <f t="shared" si="0"/>
        <v>-2.4000000000000909E-2</v>
      </c>
    </row>
    <row r="25" spans="1:7" ht="15.5" x14ac:dyDescent="0.35">
      <c r="A25" s="6" t="s">
        <v>19</v>
      </c>
      <c r="B25" s="9">
        <v>99.98</v>
      </c>
      <c r="C25" s="9">
        <v>99.965000000000003</v>
      </c>
      <c r="D25" s="3"/>
      <c r="E25" s="8">
        <v>0.02</v>
      </c>
      <c r="G25" s="15">
        <f t="shared" si="0"/>
        <v>1.5000000000000568E-2</v>
      </c>
    </row>
    <row r="26" spans="1:7" ht="15.5" x14ac:dyDescent="0.35">
      <c r="A26" s="6" t="s">
        <v>20</v>
      </c>
      <c r="B26" s="9">
        <v>99.879000000000005</v>
      </c>
      <c r="C26" s="9">
        <v>99.887</v>
      </c>
      <c r="D26" s="3"/>
      <c r="E26" s="10">
        <v>-0.01</v>
      </c>
      <c r="G26" s="15">
        <f t="shared" si="0"/>
        <v>-7.9999999999955662E-3</v>
      </c>
    </row>
    <row r="27" spans="1:7" x14ac:dyDescent="0.35">
      <c r="A27" s="11" t="s">
        <v>21</v>
      </c>
      <c r="B27" s="9">
        <v>0.87</v>
      </c>
      <c r="C27" s="9">
        <v>0.86</v>
      </c>
      <c r="D27" s="3"/>
      <c r="E27" s="8">
        <v>1.1599999999999999</v>
      </c>
      <c r="G27" s="15">
        <f t="shared" si="0"/>
        <v>1.0000000000000009E-2</v>
      </c>
    </row>
    <row r="28" spans="1:7" x14ac:dyDescent="0.35">
      <c r="A28" s="11" t="s">
        <v>22</v>
      </c>
      <c r="B28" s="9">
        <v>0.98499999999999999</v>
      </c>
      <c r="C28" s="9">
        <v>0.98499999999999999</v>
      </c>
      <c r="D28" s="3"/>
      <c r="E28" s="8">
        <v>0</v>
      </c>
      <c r="G28" s="15">
        <f t="shared" si="0"/>
        <v>0</v>
      </c>
    </row>
    <row r="29" spans="1:7" ht="15.5" x14ac:dyDescent="0.35">
      <c r="A29" s="6" t="s">
        <v>23</v>
      </c>
      <c r="B29" s="9">
        <v>100.172</v>
      </c>
      <c r="C29" s="9">
        <v>100.078</v>
      </c>
      <c r="D29" s="3"/>
      <c r="E29" s="8">
        <v>0.09</v>
      </c>
      <c r="G29" s="15">
        <f t="shared" si="0"/>
        <v>9.3999999999994088E-2</v>
      </c>
    </row>
    <row r="30" spans="1:7" ht="15.5" x14ac:dyDescent="0.35">
      <c r="A30" s="6" t="s">
        <v>24</v>
      </c>
      <c r="B30" s="7">
        <v>15582.04</v>
      </c>
      <c r="C30" s="7">
        <v>15396.7</v>
      </c>
      <c r="D30" s="3"/>
      <c r="E30" s="8">
        <v>1.2</v>
      </c>
      <c r="G30" s="15">
        <f t="shared" si="0"/>
        <v>185.34000000000015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5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42863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21012.28</v>
      </c>
      <c r="C7" s="7">
        <v>21006.94</v>
      </c>
      <c r="D7" s="3"/>
      <c r="E7" s="8">
        <v>0.03</v>
      </c>
      <c r="G7" s="15">
        <f>B7-C7</f>
        <v>5.3400000000001455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1732.03</v>
      </c>
      <c r="C9" s="7">
        <v>1738.5</v>
      </c>
      <c r="D9" s="3"/>
      <c r="E9" s="10">
        <v>-0.37</v>
      </c>
      <c r="G9" s="15">
        <f t="shared" ref="G9:G30" si="0">B9-C9</f>
        <v>-6.4700000000000273</v>
      </c>
    </row>
    <row r="10" spans="1:7" ht="15.5" x14ac:dyDescent="0.35">
      <c r="A10" s="6" t="s">
        <v>7</v>
      </c>
      <c r="B10" s="7">
        <v>2399.02</v>
      </c>
      <c r="C10" s="7">
        <v>2399.2600000000002</v>
      </c>
      <c r="D10" s="3"/>
      <c r="E10" s="10">
        <v>-0.01</v>
      </c>
      <c r="G10" s="15">
        <f t="shared" si="0"/>
        <v>-0.24000000000023647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1329.5170000000001</v>
      </c>
      <c r="C12" s="7">
        <v>1330.2159999999999</v>
      </c>
      <c r="D12" s="2"/>
      <c r="E12" s="10">
        <v>-0.05</v>
      </c>
      <c r="G12" s="15">
        <f t="shared" si="0"/>
        <v>-0.69899999999984175</v>
      </c>
    </row>
    <row r="13" spans="1:7" ht="15.5" x14ac:dyDescent="0.35">
      <c r="A13" s="6" t="s">
        <v>9</v>
      </c>
      <c r="B13" s="7">
        <v>1391.6610000000001</v>
      </c>
      <c r="C13" s="7">
        <v>1397.058</v>
      </c>
      <c r="D13" s="2"/>
      <c r="E13" s="10">
        <v>-0.39</v>
      </c>
      <c r="G13" s="15">
        <f t="shared" si="0"/>
        <v>-5.3969999999999345</v>
      </c>
    </row>
    <row r="14" spans="1:7" ht="15.5" x14ac:dyDescent="0.35">
      <c r="A14" s="6" t="s">
        <v>10</v>
      </c>
      <c r="B14" s="7">
        <v>1421.152</v>
      </c>
      <c r="C14" s="7">
        <v>1422.2639999999999</v>
      </c>
      <c r="D14" s="2"/>
      <c r="E14" s="10">
        <v>-0.08</v>
      </c>
      <c r="G14" s="15">
        <f t="shared" si="0"/>
        <v>-1.1119999999998527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11594.95</v>
      </c>
      <c r="C16" s="7">
        <v>11615.28</v>
      </c>
      <c r="D16" s="3"/>
      <c r="E16" s="10">
        <v>-0.18</v>
      </c>
      <c r="G16" s="15">
        <f t="shared" si="0"/>
        <v>-20.329999999999927</v>
      </c>
    </row>
    <row r="17" spans="1:7" ht="15.5" x14ac:dyDescent="0.35">
      <c r="A17" s="6" t="s">
        <v>12</v>
      </c>
      <c r="B17" s="7">
        <v>6102.66</v>
      </c>
      <c r="C17" s="7">
        <v>6100.7579999999998</v>
      </c>
      <c r="D17" s="3"/>
      <c r="E17" s="8">
        <v>0.03</v>
      </c>
      <c r="G17" s="15">
        <f t="shared" si="0"/>
        <v>1.9020000000000437</v>
      </c>
    </row>
    <row r="18" spans="1:7" ht="15.5" x14ac:dyDescent="0.35">
      <c r="A18" s="6" t="s">
        <v>13</v>
      </c>
      <c r="B18" s="7">
        <v>2543.672</v>
      </c>
      <c r="C18" s="7">
        <v>2528.125</v>
      </c>
      <c r="D18" s="3"/>
      <c r="E18" s="8">
        <v>0.61</v>
      </c>
      <c r="G18" s="15">
        <f t="shared" si="0"/>
        <v>15.547000000000025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1897.32</v>
      </c>
      <c r="C20" s="7">
        <v>1897.75</v>
      </c>
      <c r="D20" s="2"/>
      <c r="E20" s="10">
        <v>-0.02</v>
      </c>
      <c r="G20" s="15">
        <f t="shared" si="0"/>
        <v>-0.43000000000006366</v>
      </c>
    </row>
    <row r="21" spans="1:7" ht="15.5" x14ac:dyDescent="0.35">
      <c r="A21" s="6" t="s">
        <v>15</v>
      </c>
      <c r="B21" s="7">
        <v>1866.94</v>
      </c>
      <c r="C21" s="7">
        <v>1866.99</v>
      </c>
      <c r="D21" s="2"/>
      <c r="E21" s="10">
        <v>0</v>
      </c>
      <c r="G21" s="15">
        <f t="shared" si="0"/>
        <v>-4.9999999999954525E-2</v>
      </c>
    </row>
    <row r="22" spans="1:7" ht="31" x14ac:dyDescent="0.35">
      <c r="A22" s="6" t="s">
        <v>16</v>
      </c>
      <c r="B22" s="9">
        <v>985.11</v>
      </c>
      <c r="C22" s="9">
        <v>978.44</v>
      </c>
      <c r="D22" s="2"/>
      <c r="E22" s="8">
        <v>0.68</v>
      </c>
      <c r="G22" s="15">
        <f t="shared" si="0"/>
        <v>6.6699999999999591</v>
      </c>
    </row>
    <row r="23" spans="1:7" ht="15.5" x14ac:dyDescent="0.35">
      <c r="A23" s="6" t="s">
        <v>17</v>
      </c>
      <c r="B23" s="7">
        <v>1883.04</v>
      </c>
      <c r="C23" s="7">
        <v>1887.8689999999999</v>
      </c>
      <c r="D23" s="3"/>
      <c r="E23" s="10">
        <v>-0.26</v>
      </c>
      <c r="G23" s="15">
        <f t="shared" si="0"/>
        <v>-4.8289999999999509</v>
      </c>
    </row>
    <row r="24" spans="1:7" ht="15.5" x14ac:dyDescent="0.35">
      <c r="A24" s="6" t="s">
        <v>18</v>
      </c>
      <c r="B24" s="9">
        <v>98.82</v>
      </c>
      <c r="C24" s="9">
        <v>99.108999999999995</v>
      </c>
      <c r="D24" s="3"/>
      <c r="E24" s="10">
        <v>-0.28999999999999998</v>
      </c>
      <c r="G24" s="15">
        <f t="shared" si="0"/>
        <v>-0.28900000000000148</v>
      </c>
    </row>
    <row r="25" spans="1:7" ht="15.5" x14ac:dyDescent="0.35">
      <c r="A25" s="6" t="s">
        <v>19</v>
      </c>
      <c r="B25" s="9">
        <v>99.831999999999994</v>
      </c>
      <c r="C25" s="9">
        <v>99.98</v>
      </c>
      <c r="D25" s="3"/>
      <c r="E25" s="10">
        <v>-0.15</v>
      </c>
      <c r="G25" s="15">
        <f t="shared" si="0"/>
        <v>-0.14800000000001035</v>
      </c>
    </row>
    <row r="26" spans="1:7" ht="15.5" x14ac:dyDescent="0.35">
      <c r="A26" s="6" t="s">
        <v>20</v>
      </c>
      <c r="B26" s="9">
        <v>99.847999999999999</v>
      </c>
      <c r="C26" s="9">
        <v>99.879000000000005</v>
      </c>
      <c r="D26" s="3"/>
      <c r="E26" s="10">
        <v>-0.03</v>
      </c>
      <c r="G26" s="15">
        <f t="shared" si="0"/>
        <v>-3.1000000000005912E-2</v>
      </c>
    </row>
    <row r="27" spans="1:7" x14ac:dyDescent="0.35">
      <c r="A27" s="11" t="s">
        <v>21</v>
      </c>
      <c r="B27" s="9">
        <v>0.875</v>
      </c>
      <c r="C27" s="9">
        <v>0.87</v>
      </c>
      <c r="D27" s="3"/>
      <c r="E27" s="8">
        <v>0.56999999999999995</v>
      </c>
      <c r="G27" s="15">
        <f t="shared" si="0"/>
        <v>5.0000000000000044E-3</v>
      </c>
    </row>
    <row r="28" spans="1:7" x14ac:dyDescent="0.35">
      <c r="A28" s="11" t="s">
        <v>22</v>
      </c>
      <c r="B28" s="9">
        <v>0.995</v>
      </c>
      <c r="C28" s="9">
        <v>0.98499999999999999</v>
      </c>
      <c r="D28" s="3"/>
      <c r="E28" s="8">
        <v>1.02</v>
      </c>
      <c r="G28" s="15">
        <f t="shared" si="0"/>
        <v>1.0000000000000009E-2</v>
      </c>
    </row>
    <row r="29" spans="1:7" ht="15.5" x14ac:dyDescent="0.35">
      <c r="A29" s="6" t="s">
        <v>23</v>
      </c>
      <c r="B29" s="9">
        <v>99.516000000000005</v>
      </c>
      <c r="C29" s="9">
        <v>100.172</v>
      </c>
      <c r="D29" s="3"/>
      <c r="E29" s="10">
        <v>-0.65</v>
      </c>
      <c r="G29" s="15">
        <f t="shared" si="0"/>
        <v>-0.6559999999999917</v>
      </c>
    </row>
    <row r="30" spans="1:7" ht="15.5" x14ac:dyDescent="0.35">
      <c r="A30" s="6" t="s">
        <v>24</v>
      </c>
      <c r="B30" s="7">
        <v>15652.08</v>
      </c>
      <c r="C30" s="7">
        <v>15582.04</v>
      </c>
      <c r="D30" s="3"/>
      <c r="E30" s="8">
        <v>0.45</v>
      </c>
      <c r="G30" s="15">
        <f t="shared" si="0"/>
        <v>70.039999999999054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5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42864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20975.78</v>
      </c>
      <c r="C7" s="7">
        <v>21012.28</v>
      </c>
      <c r="D7" s="3"/>
      <c r="E7" s="10">
        <v>-0.17</v>
      </c>
      <c r="G7" s="15">
        <f>B7-C7</f>
        <v>-36.5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1727.82</v>
      </c>
      <c r="C9" s="7">
        <v>1732.03</v>
      </c>
      <c r="D9" s="3"/>
      <c r="E9" s="10">
        <v>-0.24</v>
      </c>
      <c r="G9" s="15">
        <f t="shared" ref="G9:G30" si="0">B9-C9</f>
        <v>-4.2100000000000364</v>
      </c>
    </row>
    <row r="10" spans="1:7" ht="15.5" x14ac:dyDescent="0.35">
      <c r="A10" s="6" t="s">
        <v>7</v>
      </c>
      <c r="B10" s="7">
        <v>2396.84</v>
      </c>
      <c r="C10" s="7">
        <v>2399.02</v>
      </c>
      <c r="D10" s="3"/>
      <c r="E10" s="10">
        <v>-0.09</v>
      </c>
      <c r="G10" s="15">
        <f t="shared" si="0"/>
        <v>-2.1799999999998363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1328.4079999999999</v>
      </c>
      <c r="C12" s="7">
        <v>1329.5170000000001</v>
      </c>
      <c r="D12" s="2"/>
      <c r="E12" s="10">
        <v>-0.08</v>
      </c>
      <c r="G12" s="15">
        <f t="shared" si="0"/>
        <v>-1.109000000000151</v>
      </c>
    </row>
    <row r="13" spans="1:7" ht="15.5" x14ac:dyDescent="0.35">
      <c r="A13" s="6" t="s">
        <v>9</v>
      </c>
      <c r="B13" s="7">
        <v>1391.8050000000001</v>
      </c>
      <c r="C13" s="7">
        <v>1391.6610000000001</v>
      </c>
      <c r="D13" s="2"/>
      <c r="E13" s="8">
        <v>0.01</v>
      </c>
      <c r="G13" s="15">
        <f t="shared" si="0"/>
        <v>0.14400000000000546</v>
      </c>
    </row>
    <row r="14" spans="1:7" ht="15.5" x14ac:dyDescent="0.35">
      <c r="A14" s="6" t="s">
        <v>10</v>
      </c>
      <c r="B14" s="7">
        <v>1420.077</v>
      </c>
      <c r="C14" s="7">
        <v>1421.152</v>
      </c>
      <c r="D14" s="2"/>
      <c r="E14" s="10">
        <v>-0.08</v>
      </c>
      <c r="G14" s="15">
        <f t="shared" si="0"/>
        <v>-1.0750000000000455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11567.41</v>
      </c>
      <c r="C16" s="7">
        <v>11594.95</v>
      </c>
      <c r="D16" s="3"/>
      <c r="E16" s="10">
        <v>-0.24</v>
      </c>
      <c r="G16" s="15">
        <f t="shared" si="0"/>
        <v>-27.540000000000873</v>
      </c>
    </row>
    <row r="17" spans="1:7" ht="15.5" x14ac:dyDescent="0.35">
      <c r="A17" s="6" t="s">
        <v>12</v>
      </c>
      <c r="B17" s="7">
        <v>6120.5870000000004</v>
      </c>
      <c r="C17" s="7">
        <v>6102.66</v>
      </c>
      <c r="D17" s="3"/>
      <c r="E17" s="8">
        <v>0.28999999999999998</v>
      </c>
      <c r="G17" s="15">
        <f t="shared" si="0"/>
        <v>17.927000000000589</v>
      </c>
    </row>
    <row r="18" spans="1:7" ht="15.5" x14ac:dyDescent="0.35">
      <c r="A18" s="6" t="s">
        <v>13</v>
      </c>
      <c r="B18" s="7">
        <v>2538.442</v>
      </c>
      <c r="C18" s="7">
        <v>2543.672</v>
      </c>
      <c r="D18" s="3"/>
      <c r="E18" s="10">
        <v>-0.21</v>
      </c>
      <c r="G18" s="15">
        <f t="shared" si="0"/>
        <v>-5.2300000000000182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1892.94</v>
      </c>
      <c r="C20" s="7">
        <v>1897.32</v>
      </c>
      <c r="D20" s="2"/>
      <c r="E20" s="10">
        <v>-0.23</v>
      </c>
      <c r="G20" s="15">
        <f t="shared" si="0"/>
        <v>-4.3799999999998818</v>
      </c>
    </row>
    <row r="21" spans="1:7" ht="15.5" x14ac:dyDescent="0.35">
      <c r="A21" s="6" t="s">
        <v>15</v>
      </c>
      <c r="B21" s="7">
        <v>1859.56</v>
      </c>
      <c r="C21" s="7">
        <v>1866.94</v>
      </c>
      <c r="D21" s="2"/>
      <c r="E21" s="10">
        <v>-0.4</v>
      </c>
      <c r="G21" s="15">
        <f t="shared" si="0"/>
        <v>-7.3800000000001091</v>
      </c>
    </row>
    <row r="22" spans="1:7" ht="31" x14ac:dyDescent="0.35">
      <c r="A22" s="6" t="s">
        <v>16</v>
      </c>
      <c r="B22" s="9">
        <v>988.51</v>
      </c>
      <c r="C22" s="9">
        <v>985.11</v>
      </c>
      <c r="D22" s="2"/>
      <c r="E22" s="8">
        <v>0.35</v>
      </c>
      <c r="G22" s="15">
        <f t="shared" si="0"/>
        <v>3.3999999999999773</v>
      </c>
    </row>
    <row r="23" spans="1:7" ht="15.5" x14ac:dyDescent="0.35">
      <c r="A23" s="6" t="s">
        <v>17</v>
      </c>
      <c r="B23" s="7">
        <v>1882.56</v>
      </c>
      <c r="C23" s="7">
        <v>1883.037</v>
      </c>
      <c r="D23" s="3"/>
      <c r="E23" s="10">
        <v>-0.03</v>
      </c>
      <c r="G23" s="15">
        <f t="shared" si="0"/>
        <v>-0.47700000000008913</v>
      </c>
    </row>
    <row r="24" spans="1:7" ht="15.5" x14ac:dyDescent="0.35">
      <c r="A24" s="6" t="s">
        <v>18</v>
      </c>
      <c r="B24" s="9">
        <v>98.757999999999996</v>
      </c>
      <c r="C24" s="9">
        <v>98.82</v>
      </c>
      <c r="D24" s="3"/>
      <c r="E24" s="10">
        <v>-0.06</v>
      </c>
      <c r="G24" s="15">
        <f t="shared" si="0"/>
        <v>-6.1999999999997613E-2</v>
      </c>
    </row>
    <row r="25" spans="1:7" ht="15.5" x14ac:dyDescent="0.35">
      <c r="A25" s="6" t="s">
        <v>19</v>
      </c>
      <c r="B25" s="9">
        <v>99.793000000000006</v>
      </c>
      <c r="C25" s="9">
        <v>99.831999999999994</v>
      </c>
      <c r="D25" s="3"/>
      <c r="E25" s="10">
        <v>-0.04</v>
      </c>
      <c r="G25" s="15">
        <f t="shared" si="0"/>
        <v>-3.8999999999987267E-2</v>
      </c>
    </row>
    <row r="26" spans="1:7" ht="15.5" x14ac:dyDescent="0.35">
      <c r="A26" s="6" t="s">
        <v>20</v>
      </c>
      <c r="B26" s="9">
        <v>99.823999999999998</v>
      </c>
      <c r="C26" s="9">
        <v>99.847999999999999</v>
      </c>
      <c r="D26" s="3"/>
      <c r="E26" s="10">
        <v>-0.02</v>
      </c>
      <c r="G26" s="15">
        <f t="shared" si="0"/>
        <v>-2.4000000000000909E-2</v>
      </c>
    </row>
    <row r="27" spans="1:7" x14ac:dyDescent="0.35">
      <c r="A27" s="11" t="s">
        <v>21</v>
      </c>
      <c r="B27" s="9">
        <v>0.88</v>
      </c>
      <c r="C27" s="9">
        <v>0.875</v>
      </c>
      <c r="D27" s="3"/>
      <c r="E27" s="8">
        <v>0.56999999999999995</v>
      </c>
      <c r="G27" s="15">
        <f t="shared" si="0"/>
        <v>5.0000000000000044E-3</v>
      </c>
    </row>
    <row r="28" spans="1:7" x14ac:dyDescent="0.35">
      <c r="A28" s="11" t="s">
        <v>22</v>
      </c>
      <c r="B28" s="9">
        <v>1.0049999999999999</v>
      </c>
      <c r="C28" s="9">
        <v>0.995</v>
      </c>
      <c r="D28" s="3"/>
      <c r="E28" s="8">
        <v>1.01</v>
      </c>
      <c r="G28" s="15">
        <f t="shared" si="0"/>
        <v>9.9999999999998979E-3</v>
      </c>
    </row>
    <row r="29" spans="1:7" ht="15.5" x14ac:dyDescent="0.35">
      <c r="A29" s="6" t="s">
        <v>23</v>
      </c>
      <c r="B29" s="9">
        <v>99.563000000000002</v>
      </c>
      <c r="C29" s="9">
        <v>99.516000000000005</v>
      </c>
      <c r="D29" s="3"/>
      <c r="E29" s="8">
        <v>0.05</v>
      </c>
      <c r="G29" s="15">
        <f t="shared" si="0"/>
        <v>4.6999999999997044E-2</v>
      </c>
    </row>
    <row r="30" spans="1:7" ht="15.5" x14ac:dyDescent="0.35">
      <c r="A30" s="6" t="s">
        <v>24</v>
      </c>
      <c r="B30" s="7">
        <v>15569.2</v>
      </c>
      <c r="C30" s="7">
        <v>15652.08</v>
      </c>
      <c r="D30" s="3"/>
      <c r="E30" s="10">
        <v>-0.53</v>
      </c>
      <c r="G30" s="15">
        <f t="shared" si="0"/>
        <v>-82.8799999999992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5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42865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20943.11</v>
      </c>
      <c r="C7" s="7">
        <v>20975.78</v>
      </c>
      <c r="D7" s="3"/>
      <c r="E7" s="10">
        <v>-0.16</v>
      </c>
      <c r="G7" s="15">
        <f>B7-C7</f>
        <v>-32.669999999998254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1738.54</v>
      </c>
      <c r="C9" s="7">
        <v>1727.82</v>
      </c>
      <c r="D9" s="3"/>
      <c r="E9" s="8">
        <v>0.62</v>
      </c>
      <c r="G9" s="15">
        <f t="shared" ref="G9:G30" si="0">B9-C9</f>
        <v>10.720000000000027</v>
      </c>
    </row>
    <row r="10" spans="1:7" ht="15.5" x14ac:dyDescent="0.35">
      <c r="A10" s="6" t="s">
        <v>7</v>
      </c>
      <c r="B10" s="7">
        <v>2399.5</v>
      </c>
      <c r="C10" s="7">
        <v>2396.84</v>
      </c>
      <c r="D10" s="3"/>
      <c r="E10" s="8">
        <v>0.11</v>
      </c>
      <c r="G10" s="15">
        <f t="shared" si="0"/>
        <v>2.6599999999998545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1330.1369999999999</v>
      </c>
      <c r="C12" s="7">
        <v>1328.4079999999999</v>
      </c>
      <c r="D12" s="2"/>
      <c r="E12" s="8">
        <v>0.13</v>
      </c>
      <c r="G12" s="15">
        <f t="shared" si="0"/>
        <v>1.7290000000000418</v>
      </c>
    </row>
    <row r="13" spans="1:7" ht="15.5" x14ac:dyDescent="0.35">
      <c r="A13" s="6" t="s">
        <v>9</v>
      </c>
      <c r="B13" s="7">
        <v>1399.672</v>
      </c>
      <c r="C13" s="7">
        <v>1391.8050000000001</v>
      </c>
      <c r="D13" s="2"/>
      <c r="E13" s="8">
        <v>0.56999999999999995</v>
      </c>
      <c r="G13" s="15">
        <f t="shared" si="0"/>
        <v>7.8669999999999618</v>
      </c>
    </row>
    <row r="14" spans="1:7" ht="15.5" x14ac:dyDescent="0.35">
      <c r="A14" s="6" t="s">
        <v>10</v>
      </c>
      <c r="B14" s="7">
        <v>1422.4</v>
      </c>
      <c r="C14" s="7">
        <v>1420.077</v>
      </c>
      <c r="D14" s="2"/>
      <c r="E14" s="8">
        <v>0.16</v>
      </c>
      <c r="G14" s="15">
        <f t="shared" si="0"/>
        <v>2.3230000000000928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11598.88</v>
      </c>
      <c r="C16" s="7">
        <v>11567.41</v>
      </c>
      <c r="D16" s="3"/>
      <c r="E16" s="8">
        <v>0.27</v>
      </c>
      <c r="G16" s="15">
        <f t="shared" si="0"/>
        <v>31.469999999999345</v>
      </c>
    </row>
    <row r="17" spans="1:7" ht="15.5" x14ac:dyDescent="0.35">
      <c r="A17" s="6" t="s">
        <v>12</v>
      </c>
      <c r="B17" s="7">
        <v>6129.143</v>
      </c>
      <c r="C17" s="7">
        <v>6120.5870000000004</v>
      </c>
      <c r="D17" s="3"/>
      <c r="E17" s="8">
        <v>0.14000000000000001</v>
      </c>
      <c r="G17" s="15">
        <f t="shared" si="0"/>
        <v>8.5559999999995853</v>
      </c>
    </row>
    <row r="18" spans="1:7" ht="15.5" x14ac:dyDescent="0.35">
      <c r="A18" s="6" t="s">
        <v>13</v>
      </c>
      <c r="B18" s="7">
        <v>2551.8780000000002</v>
      </c>
      <c r="C18" s="7">
        <v>2538.442</v>
      </c>
      <c r="D18" s="3"/>
      <c r="E18" s="8">
        <v>0.53</v>
      </c>
      <c r="G18" s="15">
        <f t="shared" si="0"/>
        <v>13.436000000000149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1895.28</v>
      </c>
      <c r="C20" s="7">
        <v>1892.94</v>
      </c>
      <c r="D20" s="2"/>
      <c r="E20" s="8">
        <v>0.12</v>
      </c>
      <c r="G20" s="15">
        <f t="shared" si="0"/>
        <v>2.3399999999999181</v>
      </c>
    </row>
    <row r="21" spans="1:7" ht="15.5" x14ac:dyDescent="0.35">
      <c r="A21" s="6" t="s">
        <v>15</v>
      </c>
      <c r="B21" s="7">
        <v>1860.99</v>
      </c>
      <c r="C21" s="7">
        <v>1859.56</v>
      </c>
      <c r="D21" s="2"/>
      <c r="E21" s="8">
        <v>0.08</v>
      </c>
      <c r="G21" s="15">
        <f t="shared" si="0"/>
        <v>1.4300000000000637</v>
      </c>
    </row>
    <row r="22" spans="1:7" ht="31" x14ac:dyDescent="0.35">
      <c r="A22" s="6" t="s">
        <v>16</v>
      </c>
      <c r="B22" s="9">
        <v>995.43</v>
      </c>
      <c r="C22" s="9">
        <v>988.51</v>
      </c>
      <c r="D22" s="2"/>
      <c r="E22" s="8">
        <v>0.7</v>
      </c>
      <c r="G22" s="15">
        <f t="shared" si="0"/>
        <v>6.9199999999999591</v>
      </c>
    </row>
    <row r="23" spans="1:7" ht="15.5" x14ac:dyDescent="0.35">
      <c r="A23" s="6" t="s">
        <v>17</v>
      </c>
      <c r="B23" s="7">
        <v>1893.68</v>
      </c>
      <c r="C23" s="7">
        <v>1882.556</v>
      </c>
      <c r="D23" s="3"/>
      <c r="E23" s="8">
        <v>0.59</v>
      </c>
      <c r="G23" s="15">
        <f t="shared" si="0"/>
        <v>11.124000000000024</v>
      </c>
    </row>
    <row r="24" spans="1:7" ht="15.5" x14ac:dyDescent="0.35">
      <c r="A24" s="6" t="s">
        <v>18</v>
      </c>
      <c r="B24" s="9">
        <v>98.647999999999996</v>
      </c>
      <c r="C24" s="9">
        <v>98.757999999999996</v>
      </c>
      <c r="D24" s="3"/>
      <c r="E24" s="10">
        <v>-0.11</v>
      </c>
      <c r="G24" s="15">
        <f t="shared" si="0"/>
        <v>-0.10999999999999943</v>
      </c>
    </row>
    <row r="25" spans="1:7" ht="15.5" x14ac:dyDescent="0.35">
      <c r="A25" s="6" t="s">
        <v>19</v>
      </c>
      <c r="B25" s="9">
        <v>99.738</v>
      </c>
      <c r="C25" s="9">
        <v>99.793000000000006</v>
      </c>
      <c r="D25" s="3"/>
      <c r="E25" s="10">
        <v>-0.06</v>
      </c>
      <c r="G25" s="15">
        <f t="shared" si="0"/>
        <v>-5.5000000000006821E-2</v>
      </c>
    </row>
    <row r="26" spans="1:7" ht="15.5" x14ac:dyDescent="0.35">
      <c r="A26" s="6" t="s">
        <v>20</v>
      </c>
      <c r="B26" s="9">
        <v>99.805000000000007</v>
      </c>
      <c r="C26" s="9">
        <v>99.823999999999998</v>
      </c>
      <c r="D26" s="3"/>
      <c r="E26" s="10">
        <v>-0.02</v>
      </c>
      <c r="G26" s="15">
        <f t="shared" si="0"/>
        <v>-1.8999999999991246E-2</v>
      </c>
    </row>
    <row r="27" spans="1:7" x14ac:dyDescent="0.35">
      <c r="A27" s="11" t="s">
        <v>21</v>
      </c>
      <c r="B27" s="9">
        <v>0.88</v>
      </c>
      <c r="C27" s="9">
        <v>0.88</v>
      </c>
      <c r="D27" s="3"/>
      <c r="E27" s="8">
        <v>0</v>
      </c>
      <c r="G27" s="15">
        <f t="shared" si="0"/>
        <v>0</v>
      </c>
    </row>
    <row r="28" spans="1:7" x14ac:dyDescent="0.35">
      <c r="A28" s="11" t="s">
        <v>22</v>
      </c>
      <c r="B28" s="9">
        <v>1.01</v>
      </c>
      <c r="C28" s="9">
        <v>1.0049999999999999</v>
      </c>
      <c r="D28" s="3"/>
      <c r="E28" s="8">
        <v>0.5</v>
      </c>
      <c r="G28" s="15">
        <f t="shared" si="0"/>
        <v>5.0000000000001155E-3</v>
      </c>
    </row>
    <row r="29" spans="1:7" ht="15.5" x14ac:dyDescent="0.35">
      <c r="A29" s="6" t="s">
        <v>23</v>
      </c>
      <c r="B29" s="9">
        <v>99.358999999999995</v>
      </c>
      <c r="C29" s="9">
        <v>99.563000000000002</v>
      </c>
      <c r="D29" s="3"/>
      <c r="E29" s="10">
        <v>-0.2</v>
      </c>
      <c r="G29" s="15">
        <f t="shared" si="0"/>
        <v>-0.20400000000000773</v>
      </c>
    </row>
    <row r="30" spans="1:7" ht="15.5" x14ac:dyDescent="0.35">
      <c r="A30" s="6" t="s">
        <v>24</v>
      </c>
      <c r="B30" s="7">
        <v>15633.21</v>
      </c>
      <c r="C30" s="7">
        <v>15569.2</v>
      </c>
      <c r="D30" s="3"/>
      <c r="E30" s="8">
        <v>0.41</v>
      </c>
      <c r="G30" s="15">
        <f t="shared" si="0"/>
        <v>64.009999999998399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5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42866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20919.419999999998</v>
      </c>
      <c r="C7" s="7">
        <v>20943.11</v>
      </c>
      <c r="D7" s="3"/>
      <c r="E7" s="10">
        <v>-0.11</v>
      </c>
      <c r="G7" s="15">
        <f>B7-C7</f>
        <v>-23.690000000002328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1727.55</v>
      </c>
      <c r="C9" s="7">
        <v>1738.54</v>
      </c>
      <c r="D9" s="3"/>
      <c r="E9" s="10">
        <v>-0.63</v>
      </c>
      <c r="G9" s="15">
        <f t="shared" ref="G9:G30" si="0">B9-C9</f>
        <v>-10.990000000000009</v>
      </c>
    </row>
    <row r="10" spans="1:7" ht="15.5" x14ac:dyDescent="0.35">
      <c r="A10" s="6" t="s">
        <v>7</v>
      </c>
      <c r="B10" s="7">
        <v>2394.5700000000002</v>
      </c>
      <c r="C10" s="7">
        <v>2399.5</v>
      </c>
      <c r="D10" s="3"/>
      <c r="E10" s="10">
        <v>-0.21</v>
      </c>
      <c r="G10" s="15">
        <f t="shared" si="0"/>
        <v>-4.9299999999998363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1326.961</v>
      </c>
      <c r="C12" s="7">
        <v>1330.1369999999999</v>
      </c>
      <c r="D12" s="2"/>
      <c r="E12" s="10">
        <v>-0.24</v>
      </c>
      <c r="G12" s="15">
        <f t="shared" si="0"/>
        <v>-3.1759999999999309</v>
      </c>
    </row>
    <row r="13" spans="1:7" ht="15.5" x14ac:dyDescent="0.35">
      <c r="A13" s="6" t="s">
        <v>9</v>
      </c>
      <c r="B13" s="7">
        <v>1390.1990000000001</v>
      </c>
      <c r="C13" s="7">
        <v>1399.672</v>
      </c>
      <c r="D13" s="2"/>
      <c r="E13" s="10">
        <v>-0.68</v>
      </c>
      <c r="G13" s="15">
        <f t="shared" si="0"/>
        <v>-9.4729999999999563</v>
      </c>
    </row>
    <row r="14" spans="1:7" ht="15.5" x14ac:dyDescent="0.35">
      <c r="A14" s="6" t="s">
        <v>10</v>
      </c>
      <c r="B14" s="7">
        <v>1418.521</v>
      </c>
      <c r="C14" s="7">
        <v>1422.4</v>
      </c>
      <c r="D14" s="2"/>
      <c r="E14" s="10">
        <v>-0.27</v>
      </c>
      <c r="G14" s="15">
        <f t="shared" si="0"/>
        <v>-3.8790000000001328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11563.84</v>
      </c>
      <c r="C16" s="7">
        <v>11598.88</v>
      </c>
      <c r="D16" s="3"/>
      <c r="E16" s="10">
        <v>-0.3</v>
      </c>
      <c r="G16" s="15">
        <f t="shared" si="0"/>
        <v>-35.039999999999054</v>
      </c>
    </row>
    <row r="17" spans="1:7" ht="15.5" x14ac:dyDescent="0.35">
      <c r="A17" s="6" t="s">
        <v>12</v>
      </c>
      <c r="B17" s="7">
        <v>6115.9639999999999</v>
      </c>
      <c r="C17" s="7">
        <v>6129.143</v>
      </c>
      <c r="D17" s="3"/>
      <c r="E17" s="10">
        <v>-0.22</v>
      </c>
      <c r="G17" s="15">
        <f t="shared" si="0"/>
        <v>-13.179000000000087</v>
      </c>
    </row>
    <row r="18" spans="1:7" ht="15.5" x14ac:dyDescent="0.35">
      <c r="A18" s="6" t="s">
        <v>13</v>
      </c>
      <c r="B18" s="7">
        <v>2547.2089999999998</v>
      </c>
      <c r="C18" s="7">
        <v>2551.8780000000002</v>
      </c>
      <c r="D18" s="3"/>
      <c r="E18" s="10">
        <v>-0.18</v>
      </c>
      <c r="G18" s="15">
        <f t="shared" si="0"/>
        <v>-4.6690000000003238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1891.11</v>
      </c>
      <c r="C20" s="7">
        <v>1895.28</v>
      </c>
      <c r="D20" s="2"/>
      <c r="E20" s="10">
        <v>-0.22</v>
      </c>
      <c r="G20" s="15">
        <f t="shared" si="0"/>
        <v>-4.1700000000000728</v>
      </c>
    </row>
    <row r="21" spans="1:7" ht="15.5" x14ac:dyDescent="0.35">
      <c r="A21" s="6" t="s">
        <v>15</v>
      </c>
      <c r="B21" s="7">
        <v>1858.37</v>
      </c>
      <c r="C21" s="7">
        <v>1860.99</v>
      </c>
      <c r="D21" s="2"/>
      <c r="E21" s="10">
        <v>-0.14000000000000001</v>
      </c>
      <c r="G21" s="15">
        <f t="shared" si="0"/>
        <v>-2.6200000000001182</v>
      </c>
    </row>
    <row r="22" spans="1:7" ht="31" x14ac:dyDescent="0.35">
      <c r="A22" s="6" t="s">
        <v>16</v>
      </c>
      <c r="B22" s="7">
        <v>1001.72</v>
      </c>
      <c r="C22" s="9">
        <v>995.43</v>
      </c>
      <c r="D22" s="2"/>
      <c r="E22" s="8">
        <v>0.63</v>
      </c>
      <c r="G22" s="15">
        <f t="shared" si="0"/>
        <v>6.2900000000000773</v>
      </c>
    </row>
    <row r="23" spans="1:7" ht="15.5" x14ac:dyDescent="0.35">
      <c r="A23" s="6" t="s">
        <v>17</v>
      </c>
      <c r="B23" s="7">
        <v>1884.81</v>
      </c>
      <c r="C23" s="7">
        <v>1893.675</v>
      </c>
      <c r="D23" s="3"/>
      <c r="E23" s="10">
        <v>-0.47</v>
      </c>
      <c r="G23" s="15">
        <f t="shared" si="0"/>
        <v>-8.8650000000000091</v>
      </c>
    </row>
    <row r="24" spans="1:7" ht="15.5" x14ac:dyDescent="0.35">
      <c r="A24" s="6" t="s">
        <v>18</v>
      </c>
      <c r="B24" s="9">
        <v>99.852000000000004</v>
      </c>
      <c r="C24" s="9">
        <v>98.647999999999996</v>
      </c>
      <c r="D24" s="3"/>
      <c r="E24" s="8">
        <v>1.22</v>
      </c>
      <c r="G24" s="15">
        <f t="shared" si="0"/>
        <v>1.2040000000000077</v>
      </c>
    </row>
    <row r="25" spans="1:7" ht="15.5" x14ac:dyDescent="0.35">
      <c r="A25" s="6" t="s">
        <v>19</v>
      </c>
      <c r="B25" s="9">
        <v>99.793000000000006</v>
      </c>
      <c r="C25" s="9">
        <v>99.738</v>
      </c>
      <c r="D25" s="3"/>
      <c r="E25" s="8">
        <v>0.06</v>
      </c>
      <c r="G25" s="15">
        <f t="shared" si="0"/>
        <v>5.5000000000006821E-2</v>
      </c>
    </row>
    <row r="26" spans="1:7" ht="15.5" x14ac:dyDescent="0.35">
      <c r="A26" s="6" t="s">
        <v>20</v>
      </c>
      <c r="B26" s="9">
        <v>99.831999999999994</v>
      </c>
      <c r="C26" s="9">
        <v>99.805000000000007</v>
      </c>
      <c r="D26" s="3"/>
      <c r="E26" s="8">
        <v>0.03</v>
      </c>
      <c r="G26" s="15">
        <f t="shared" si="0"/>
        <v>2.6999999999986812E-2</v>
      </c>
    </row>
    <row r="27" spans="1:7" x14ac:dyDescent="0.35">
      <c r="A27" s="11" t="s">
        <v>21</v>
      </c>
      <c r="B27" s="9">
        <v>0.86499999999999999</v>
      </c>
      <c r="C27" s="9">
        <v>0.88</v>
      </c>
      <c r="D27" s="3"/>
      <c r="E27" s="10">
        <v>-1.7</v>
      </c>
      <c r="G27" s="15">
        <f t="shared" si="0"/>
        <v>-1.5000000000000013E-2</v>
      </c>
    </row>
    <row r="28" spans="1:7" x14ac:dyDescent="0.35">
      <c r="A28" s="11" t="s">
        <v>22</v>
      </c>
      <c r="B28" s="9">
        <v>1.0049999999999999</v>
      </c>
      <c r="C28" s="9">
        <v>1.01</v>
      </c>
      <c r="D28" s="3"/>
      <c r="E28" s="10">
        <v>-0.5</v>
      </c>
      <c r="G28" s="15">
        <f t="shared" si="0"/>
        <v>-5.0000000000001155E-3</v>
      </c>
    </row>
    <row r="29" spans="1:7" ht="15.5" x14ac:dyDescent="0.35">
      <c r="A29" s="6" t="s">
        <v>23</v>
      </c>
      <c r="B29" s="9">
        <v>99.421999999999997</v>
      </c>
      <c r="C29" s="9">
        <v>99.358999999999995</v>
      </c>
      <c r="D29" s="3"/>
      <c r="E29" s="8">
        <v>0.06</v>
      </c>
      <c r="G29" s="15">
        <f t="shared" si="0"/>
        <v>6.3000000000002387E-2</v>
      </c>
    </row>
    <row r="30" spans="1:7" ht="15.5" x14ac:dyDescent="0.35">
      <c r="A30" s="6" t="s">
        <v>24</v>
      </c>
      <c r="B30" s="7">
        <v>15550.55</v>
      </c>
      <c r="C30" s="7">
        <v>15633.21</v>
      </c>
      <c r="D30" s="3"/>
      <c r="E30" s="10">
        <v>-0.53</v>
      </c>
      <c r="G30" s="15">
        <f t="shared" si="0"/>
        <v>-82.659999999999854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4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42867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20896.61</v>
      </c>
      <c r="C7" s="7">
        <v>20919.419999999998</v>
      </c>
      <c r="D7" s="3"/>
      <c r="E7" s="10">
        <v>-0.11</v>
      </c>
      <c r="G7" s="14">
        <f>B7-C7</f>
        <v>-22.809999999997672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1719.33</v>
      </c>
      <c r="C9" s="7">
        <v>1727.55</v>
      </c>
      <c r="D9" s="3"/>
      <c r="E9" s="10">
        <v>-0.48</v>
      </c>
      <c r="G9" s="14">
        <f t="shared" ref="G9:G30" si="0">B9-C9</f>
        <v>-8.2200000000000273</v>
      </c>
    </row>
    <row r="10" spans="1:7" ht="15.5" x14ac:dyDescent="0.35">
      <c r="A10" s="6" t="s">
        <v>7</v>
      </c>
      <c r="B10" s="7">
        <v>2390.66</v>
      </c>
      <c r="C10" s="7">
        <v>2394.5700000000002</v>
      </c>
      <c r="D10" s="3"/>
      <c r="E10" s="10">
        <v>-0.16</v>
      </c>
      <c r="G10" s="14">
        <f t="shared" si="0"/>
        <v>-3.9100000000003092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1324.615</v>
      </c>
      <c r="C12" s="7">
        <v>1326.961</v>
      </c>
      <c r="D12" s="2"/>
      <c r="E12" s="10">
        <v>-0.18</v>
      </c>
      <c r="G12" s="14">
        <f t="shared" si="0"/>
        <v>-2.3460000000000036</v>
      </c>
    </row>
    <row r="13" spans="1:7" ht="15.5" x14ac:dyDescent="0.35">
      <c r="A13" s="6" t="s">
        <v>9</v>
      </c>
      <c r="B13" s="7">
        <v>1382.864</v>
      </c>
      <c r="C13" s="7">
        <v>1390.1990000000001</v>
      </c>
      <c r="D13" s="2"/>
      <c r="E13" s="10">
        <v>-0.53</v>
      </c>
      <c r="G13" s="14">
        <f t="shared" si="0"/>
        <v>-7.3350000000000364</v>
      </c>
    </row>
    <row r="14" spans="1:7" ht="15.5" x14ac:dyDescent="0.35">
      <c r="A14" s="6" t="s">
        <v>10</v>
      </c>
      <c r="B14" s="7">
        <v>1415.636</v>
      </c>
      <c r="C14" s="7">
        <v>1418.521</v>
      </c>
      <c r="D14" s="2"/>
      <c r="E14" s="10">
        <v>-0.2</v>
      </c>
      <c r="G14" s="14">
        <f t="shared" si="0"/>
        <v>-2.8849999999999909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11546.59</v>
      </c>
      <c r="C16" s="7">
        <v>11563.84</v>
      </c>
      <c r="D16" s="3"/>
      <c r="E16" s="10">
        <v>-0.15</v>
      </c>
      <c r="G16" s="14">
        <f t="shared" si="0"/>
        <v>-17.25</v>
      </c>
    </row>
    <row r="17" spans="1:7" ht="15.5" x14ac:dyDescent="0.35">
      <c r="A17" s="6" t="s">
        <v>12</v>
      </c>
      <c r="B17" s="7">
        <v>6121.232</v>
      </c>
      <c r="C17" s="7">
        <v>6115.9639999999999</v>
      </c>
      <c r="D17" s="3"/>
      <c r="E17" s="8">
        <v>0.09</v>
      </c>
      <c r="G17" s="14">
        <f t="shared" si="0"/>
        <v>5.2680000000000291</v>
      </c>
    </row>
    <row r="18" spans="1:7" ht="15.5" x14ac:dyDescent="0.35">
      <c r="A18" s="6" t="s">
        <v>13</v>
      </c>
      <c r="B18" s="7">
        <v>2572.7449999999999</v>
      </c>
      <c r="C18" s="7">
        <v>2547.2089999999998</v>
      </c>
      <c r="D18" s="3"/>
      <c r="E18" s="8">
        <v>1</v>
      </c>
      <c r="G18" s="14">
        <f t="shared" si="0"/>
        <v>25.536000000000058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1892.97</v>
      </c>
      <c r="C20" s="7">
        <v>1891.11</v>
      </c>
      <c r="D20" s="2"/>
      <c r="E20" s="8">
        <v>0.1</v>
      </c>
      <c r="G20" s="14">
        <f t="shared" si="0"/>
        <v>1.8600000000001273</v>
      </c>
    </row>
    <row r="21" spans="1:7" ht="15.5" x14ac:dyDescent="0.35">
      <c r="A21" s="6" t="s">
        <v>15</v>
      </c>
      <c r="B21" s="7">
        <v>1868.24</v>
      </c>
      <c r="C21" s="7">
        <v>1858.37</v>
      </c>
      <c r="D21" s="2"/>
      <c r="E21" s="8">
        <v>0.53</v>
      </c>
      <c r="G21" s="14">
        <f t="shared" si="0"/>
        <v>9.8700000000001182</v>
      </c>
    </row>
    <row r="22" spans="1:7" ht="31" x14ac:dyDescent="0.35">
      <c r="A22" s="6" t="s">
        <v>16</v>
      </c>
      <c r="B22" s="7">
        <v>1002.37</v>
      </c>
      <c r="C22" s="7">
        <v>1001.72</v>
      </c>
      <c r="D22" s="2"/>
      <c r="E22" s="8">
        <v>0.06</v>
      </c>
      <c r="G22" s="14">
        <f t="shared" si="0"/>
        <v>0.64999999999997726</v>
      </c>
    </row>
    <row r="23" spans="1:7" ht="15.5" x14ac:dyDescent="0.35">
      <c r="A23" s="6" t="s">
        <v>17</v>
      </c>
      <c r="B23" s="7">
        <v>1876.66</v>
      </c>
      <c r="C23" s="7">
        <v>1884.8130000000001</v>
      </c>
      <c r="D23" s="3"/>
      <c r="E23" s="10">
        <v>-0.43</v>
      </c>
      <c r="G23" s="14">
        <f t="shared" si="0"/>
        <v>-8.15300000000002</v>
      </c>
    </row>
    <row r="24" spans="1:7" ht="15.5" x14ac:dyDescent="0.35">
      <c r="A24" s="6" t="s">
        <v>18</v>
      </c>
      <c r="B24" s="9">
        <v>100.44499999999999</v>
      </c>
      <c r="C24" s="9">
        <v>99.852000000000004</v>
      </c>
      <c r="D24" s="3"/>
      <c r="E24" s="8">
        <v>0.59</v>
      </c>
      <c r="G24" s="14">
        <f t="shared" si="0"/>
        <v>0.59299999999998931</v>
      </c>
    </row>
    <row r="25" spans="1:7" ht="15.5" x14ac:dyDescent="0.35">
      <c r="A25" s="6" t="s">
        <v>19</v>
      </c>
      <c r="B25" s="9">
        <v>100.137</v>
      </c>
      <c r="C25" s="9">
        <v>99.793000000000006</v>
      </c>
      <c r="D25" s="3"/>
      <c r="E25" s="8">
        <v>0.34</v>
      </c>
      <c r="G25" s="14">
        <f t="shared" si="0"/>
        <v>0.34399999999999409</v>
      </c>
    </row>
    <row r="26" spans="1:7" ht="15.5" x14ac:dyDescent="0.35">
      <c r="A26" s="6" t="s">
        <v>20</v>
      </c>
      <c r="B26" s="9">
        <v>99.926000000000002</v>
      </c>
      <c r="C26" s="9">
        <v>99.831999999999994</v>
      </c>
      <c r="D26" s="3"/>
      <c r="E26" s="8">
        <v>0.09</v>
      </c>
      <c r="G26" s="14">
        <f t="shared" si="0"/>
        <v>9.4000000000008299E-2</v>
      </c>
    </row>
    <row r="27" spans="1:7" x14ac:dyDescent="0.35">
      <c r="A27" s="11" t="s">
        <v>21</v>
      </c>
      <c r="B27" s="9">
        <v>0.85499999999999998</v>
      </c>
      <c r="C27" s="9">
        <v>0.86499999999999999</v>
      </c>
      <c r="D27" s="3"/>
      <c r="E27" s="10">
        <v>-1.1599999999999999</v>
      </c>
      <c r="G27" s="14">
        <f t="shared" si="0"/>
        <v>-1.0000000000000009E-2</v>
      </c>
    </row>
    <row r="28" spans="1:7" x14ac:dyDescent="0.35">
      <c r="A28" s="11" t="s">
        <v>22</v>
      </c>
      <c r="B28" s="9">
        <v>0.995</v>
      </c>
      <c r="C28" s="9">
        <v>1.0049999999999999</v>
      </c>
      <c r="D28" s="3"/>
      <c r="E28" s="10">
        <v>-1</v>
      </c>
      <c r="G28" s="14">
        <f t="shared" si="0"/>
        <v>-9.9999999999998979E-3</v>
      </c>
    </row>
    <row r="29" spans="1:7" ht="15.5" x14ac:dyDescent="0.35">
      <c r="A29" s="6" t="s">
        <v>23</v>
      </c>
      <c r="B29" s="9">
        <v>100.26600000000001</v>
      </c>
      <c r="C29" s="9">
        <v>99.421999999999997</v>
      </c>
      <c r="D29" s="3"/>
      <c r="E29" s="8">
        <v>0.85</v>
      </c>
      <c r="G29" s="14">
        <f t="shared" si="0"/>
        <v>0.8440000000000083</v>
      </c>
    </row>
    <row r="30" spans="1:7" ht="15.5" x14ac:dyDescent="0.35">
      <c r="A30" s="6" t="s">
        <v>24</v>
      </c>
      <c r="B30" s="7">
        <v>15537.88</v>
      </c>
      <c r="C30" s="7">
        <v>15550.55</v>
      </c>
      <c r="D30" s="3"/>
      <c r="E30" s="10">
        <v>-0.08</v>
      </c>
      <c r="G30" s="14">
        <f t="shared" si="0"/>
        <v>-12.670000000000073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4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42870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20981.94</v>
      </c>
      <c r="C7" s="7">
        <v>20896.61</v>
      </c>
      <c r="D7" s="3"/>
      <c r="E7" s="8">
        <v>0.41</v>
      </c>
      <c r="G7" s="14">
        <f>B7-C7</f>
        <v>85.329999999998108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1731.11</v>
      </c>
      <c r="C9" s="7">
        <v>1719.33</v>
      </c>
      <c r="D9" s="3"/>
      <c r="E9" s="8">
        <v>0.69</v>
      </c>
      <c r="G9" s="14">
        <f t="shared" ref="G9:G30" si="0">B9-C9</f>
        <v>11.779999999999973</v>
      </c>
    </row>
    <row r="10" spans="1:7" ht="15.5" x14ac:dyDescent="0.35">
      <c r="A10" s="6" t="s">
        <v>7</v>
      </c>
      <c r="B10" s="7">
        <v>2402.34</v>
      </c>
      <c r="C10" s="7">
        <v>2390.66</v>
      </c>
      <c r="D10" s="3"/>
      <c r="E10" s="8">
        <v>0.49</v>
      </c>
      <c r="G10" s="14">
        <f t="shared" si="0"/>
        <v>11.680000000000291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1331.3119999999999</v>
      </c>
      <c r="C12" s="7">
        <v>1324.615</v>
      </c>
      <c r="D12" s="2"/>
      <c r="E12" s="8">
        <v>0.51</v>
      </c>
      <c r="G12" s="14">
        <f t="shared" si="0"/>
        <v>6.696999999999889</v>
      </c>
    </row>
    <row r="13" spans="1:7" ht="15.5" x14ac:dyDescent="0.35">
      <c r="A13" s="6" t="s">
        <v>9</v>
      </c>
      <c r="B13" s="7">
        <v>1393.8119999999999</v>
      </c>
      <c r="C13" s="7">
        <v>1382.864</v>
      </c>
      <c r="D13" s="2"/>
      <c r="E13" s="8">
        <v>0.79</v>
      </c>
      <c r="G13" s="14">
        <f t="shared" si="0"/>
        <v>10.947999999999865</v>
      </c>
    </row>
    <row r="14" spans="1:7" ht="15.5" x14ac:dyDescent="0.35">
      <c r="A14" s="6" t="s">
        <v>10</v>
      </c>
      <c r="B14" s="7">
        <v>1423.096</v>
      </c>
      <c r="C14" s="7">
        <v>1415.636</v>
      </c>
      <c r="D14" s="2"/>
      <c r="E14" s="8">
        <v>0.53</v>
      </c>
      <c r="G14" s="14">
        <f t="shared" si="0"/>
        <v>7.4600000000000364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11614.31</v>
      </c>
      <c r="C16" s="7">
        <v>11546.59</v>
      </c>
      <c r="D16" s="3"/>
      <c r="E16" s="8">
        <v>0.59</v>
      </c>
      <c r="G16" s="14">
        <f t="shared" si="0"/>
        <v>67.719999999999345</v>
      </c>
    </row>
    <row r="17" spans="1:7" ht="15.5" x14ac:dyDescent="0.35">
      <c r="A17" s="6" t="s">
        <v>12</v>
      </c>
      <c r="B17" s="7">
        <v>6149.674</v>
      </c>
      <c r="C17" s="7">
        <v>6121.232</v>
      </c>
      <c r="D17" s="3"/>
      <c r="E17" s="8">
        <v>0.46</v>
      </c>
      <c r="G17" s="14">
        <f t="shared" si="0"/>
        <v>28.442000000000007</v>
      </c>
    </row>
    <row r="18" spans="1:7" ht="15.5" x14ac:dyDescent="0.35">
      <c r="A18" s="6" t="s">
        <v>13</v>
      </c>
      <c r="B18" s="7">
        <v>2583.15</v>
      </c>
      <c r="C18" s="7">
        <v>2572.7449999999999</v>
      </c>
      <c r="D18" s="3"/>
      <c r="E18" s="8">
        <v>0.4</v>
      </c>
      <c r="G18" s="14">
        <f t="shared" si="0"/>
        <v>10.4050000000002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1901.35</v>
      </c>
      <c r="C20" s="7">
        <v>1892.97</v>
      </c>
      <c r="D20" s="2"/>
      <c r="E20" s="8">
        <v>0.44</v>
      </c>
      <c r="G20" s="14">
        <f t="shared" si="0"/>
        <v>8.3799999999998818</v>
      </c>
    </row>
    <row r="21" spans="1:7" ht="15.5" x14ac:dyDescent="0.35">
      <c r="A21" s="6" t="s">
        <v>15</v>
      </c>
      <c r="B21" s="7">
        <v>1873.54</v>
      </c>
      <c r="C21" s="7">
        <v>1868.24</v>
      </c>
      <c r="D21" s="2"/>
      <c r="E21" s="8">
        <v>0.28000000000000003</v>
      </c>
      <c r="G21" s="14">
        <f t="shared" si="0"/>
        <v>5.2999999999999545</v>
      </c>
    </row>
    <row r="22" spans="1:7" ht="31" x14ac:dyDescent="0.35">
      <c r="A22" s="6" t="s">
        <v>16</v>
      </c>
      <c r="B22" s="7">
        <v>1011.69</v>
      </c>
      <c r="C22" s="7">
        <v>1002.37</v>
      </c>
      <c r="D22" s="2"/>
      <c r="E22" s="8">
        <v>0.93</v>
      </c>
      <c r="G22" s="14">
        <f t="shared" si="0"/>
        <v>9.32000000000005</v>
      </c>
    </row>
    <row r="23" spans="1:7" ht="15.5" x14ac:dyDescent="0.35">
      <c r="A23" s="6" t="s">
        <v>17</v>
      </c>
      <c r="B23" s="7">
        <v>1890.68</v>
      </c>
      <c r="C23" s="7">
        <v>1876.6569999999999</v>
      </c>
      <c r="D23" s="3"/>
      <c r="E23" s="8">
        <v>0.75</v>
      </c>
      <c r="G23" s="14">
        <f t="shared" si="0"/>
        <v>14.023000000000138</v>
      </c>
    </row>
    <row r="24" spans="1:7" ht="15.5" x14ac:dyDescent="0.35">
      <c r="A24" s="6" t="s">
        <v>18</v>
      </c>
      <c r="B24" s="9">
        <v>100.289</v>
      </c>
      <c r="C24" s="9">
        <v>100.44499999999999</v>
      </c>
      <c r="D24" s="3"/>
      <c r="E24" s="10">
        <v>-0.16</v>
      </c>
      <c r="G24" s="14">
        <f t="shared" si="0"/>
        <v>-0.1559999999999917</v>
      </c>
    </row>
    <row r="25" spans="1:7" ht="15.5" x14ac:dyDescent="0.35">
      <c r="A25" s="6" t="s">
        <v>19</v>
      </c>
      <c r="B25" s="9">
        <v>100.066</v>
      </c>
      <c r="C25" s="9">
        <v>100.137</v>
      </c>
      <c r="D25" s="3"/>
      <c r="E25" s="10">
        <v>-7.0000000000000007E-2</v>
      </c>
      <c r="G25" s="14">
        <f t="shared" si="0"/>
        <v>-7.0999999999997954E-2</v>
      </c>
    </row>
    <row r="26" spans="1:7" ht="15.5" x14ac:dyDescent="0.35">
      <c r="A26" s="6" t="s">
        <v>20</v>
      </c>
      <c r="B26" s="9">
        <v>99.902000000000001</v>
      </c>
      <c r="C26" s="9">
        <v>99.926000000000002</v>
      </c>
      <c r="D26" s="3"/>
      <c r="E26" s="10">
        <v>-0.02</v>
      </c>
      <c r="G26" s="14">
        <f t="shared" si="0"/>
        <v>-2.4000000000000909E-2</v>
      </c>
    </row>
    <row r="27" spans="1:7" x14ac:dyDescent="0.35">
      <c r="A27" s="11" t="s">
        <v>21</v>
      </c>
      <c r="B27" s="9">
        <v>0.87</v>
      </c>
      <c r="C27" s="9">
        <v>0.85499999999999998</v>
      </c>
      <c r="D27" s="3"/>
      <c r="E27" s="8">
        <v>1.75</v>
      </c>
      <c r="G27" s="14">
        <f t="shared" si="0"/>
        <v>1.5000000000000013E-2</v>
      </c>
    </row>
    <row r="28" spans="1:7" x14ac:dyDescent="0.35">
      <c r="A28" s="11" t="s">
        <v>22</v>
      </c>
      <c r="B28" s="9">
        <v>1</v>
      </c>
      <c r="C28" s="9">
        <v>0.995</v>
      </c>
      <c r="D28" s="3"/>
      <c r="E28" s="8">
        <v>0.5</v>
      </c>
      <c r="G28" s="14">
        <f t="shared" si="0"/>
        <v>5.0000000000000044E-3</v>
      </c>
    </row>
    <row r="29" spans="1:7" ht="15.5" x14ac:dyDescent="0.35">
      <c r="A29" s="6" t="s">
        <v>23</v>
      </c>
      <c r="B29" s="9">
        <v>99.897999999999996</v>
      </c>
      <c r="C29" s="9">
        <v>100.26600000000001</v>
      </c>
      <c r="D29" s="3"/>
      <c r="E29" s="10">
        <v>-0.37</v>
      </c>
      <c r="G29" s="14">
        <f t="shared" si="0"/>
        <v>-0.36800000000000921</v>
      </c>
    </row>
    <row r="30" spans="1:7" ht="15.5" x14ac:dyDescent="0.35">
      <c r="A30" s="6" t="s">
        <v>24</v>
      </c>
      <c r="B30" s="7">
        <v>15629.47</v>
      </c>
      <c r="C30" s="7">
        <v>15537.88</v>
      </c>
      <c r="D30" s="3"/>
      <c r="E30" s="8">
        <v>0.59</v>
      </c>
      <c r="G30" s="14">
        <f t="shared" si="0"/>
        <v>91.590000000000146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4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42871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20979.75</v>
      </c>
      <c r="C7" s="7">
        <v>20981.94</v>
      </c>
      <c r="D7" s="3"/>
      <c r="E7" s="10">
        <v>-0.01</v>
      </c>
      <c r="G7" s="14">
        <f>B7-C7</f>
        <v>-2.1899999999986903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1729.5</v>
      </c>
      <c r="C9" s="7">
        <v>1731.11</v>
      </c>
      <c r="D9" s="3"/>
      <c r="E9" s="10">
        <v>-0.09</v>
      </c>
      <c r="G9" s="14">
        <f t="shared" ref="G9:G30" si="0">B9-C9</f>
        <v>-1.6099999999999</v>
      </c>
    </row>
    <row r="10" spans="1:7" ht="15.5" x14ac:dyDescent="0.35">
      <c r="A10" s="6" t="s">
        <v>7</v>
      </c>
      <c r="B10" s="7">
        <v>2400.61</v>
      </c>
      <c r="C10" s="7">
        <v>2402.34</v>
      </c>
      <c r="D10" s="3"/>
      <c r="E10" s="10">
        <v>-7.0000000000000007E-2</v>
      </c>
      <c r="G10" s="14">
        <f t="shared" si="0"/>
        <v>-1.7300000000000182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1330.2260000000001</v>
      </c>
      <c r="C12" s="7">
        <v>1331.3119999999999</v>
      </c>
      <c r="D12" s="2"/>
      <c r="E12" s="10">
        <v>-0.08</v>
      </c>
      <c r="G12" s="14">
        <f t="shared" si="0"/>
        <v>-1.0859999999997854</v>
      </c>
    </row>
    <row r="13" spans="1:7" ht="15.5" x14ac:dyDescent="0.35">
      <c r="A13" s="6" t="s">
        <v>9</v>
      </c>
      <c r="B13" s="7">
        <v>1394.5830000000001</v>
      </c>
      <c r="C13" s="7">
        <v>1393.8119999999999</v>
      </c>
      <c r="D13" s="2"/>
      <c r="E13" s="8">
        <v>0.06</v>
      </c>
      <c r="G13" s="14">
        <f t="shared" si="0"/>
        <v>0.77100000000018554</v>
      </c>
    </row>
    <row r="14" spans="1:7" ht="15.5" x14ac:dyDescent="0.35">
      <c r="A14" s="6" t="s">
        <v>10</v>
      </c>
      <c r="B14" s="7">
        <v>1422.0830000000001</v>
      </c>
      <c r="C14" s="7">
        <v>1423.096</v>
      </c>
      <c r="D14" s="2"/>
      <c r="E14" s="10">
        <v>-7.0000000000000007E-2</v>
      </c>
      <c r="G14" s="14">
        <f t="shared" si="0"/>
        <v>-1.01299999999992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11606.29</v>
      </c>
      <c r="C16" s="7">
        <v>11614.31</v>
      </c>
      <c r="D16" s="3"/>
      <c r="E16" s="10">
        <v>-7.0000000000000007E-2</v>
      </c>
      <c r="G16" s="14">
        <f t="shared" si="0"/>
        <v>-8.0199999999986176</v>
      </c>
    </row>
    <row r="17" spans="1:7" ht="15.5" x14ac:dyDescent="0.35">
      <c r="A17" s="6" t="s">
        <v>12</v>
      </c>
      <c r="B17" s="7">
        <v>6169.87</v>
      </c>
      <c r="C17" s="7">
        <v>6149.674</v>
      </c>
      <c r="D17" s="3"/>
      <c r="E17" s="8">
        <v>0.33</v>
      </c>
      <c r="G17" s="14">
        <f t="shared" si="0"/>
        <v>20.195999999999913</v>
      </c>
    </row>
    <row r="18" spans="1:7" ht="15.5" x14ac:dyDescent="0.35">
      <c r="A18" s="6" t="s">
        <v>13</v>
      </c>
      <c r="B18" s="7">
        <v>2606.451</v>
      </c>
      <c r="C18" s="7">
        <v>2583.15</v>
      </c>
      <c r="D18" s="3"/>
      <c r="E18" s="8">
        <v>0.9</v>
      </c>
      <c r="G18" s="14">
        <f t="shared" si="0"/>
        <v>23.300999999999931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1906.47</v>
      </c>
      <c r="C20" s="7">
        <v>1901.35</v>
      </c>
      <c r="D20" s="2"/>
      <c r="E20" s="8">
        <v>0.27</v>
      </c>
      <c r="G20" s="14">
        <f t="shared" si="0"/>
        <v>5.1200000000001182</v>
      </c>
    </row>
    <row r="21" spans="1:7" ht="15.5" x14ac:dyDescent="0.35">
      <c r="A21" s="6" t="s">
        <v>15</v>
      </c>
      <c r="B21" s="7">
        <v>1889.95</v>
      </c>
      <c r="C21" s="7">
        <v>1873.54</v>
      </c>
      <c r="D21" s="2"/>
      <c r="E21" s="8">
        <v>0.88</v>
      </c>
      <c r="G21" s="14">
        <f t="shared" si="0"/>
        <v>16.410000000000082</v>
      </c>
    </row>
    <row r="22" spans="1:7" ht="31" x14ac:dyDescent="0.35">
      <c r="A22" s="6" t="s">
        <v>16</v>
      </c>
      <c r="B22" s="7">
        <v>1015.61</v>
      </c>
      <c r="C22" s="7">
        <v>1011.69</v>
      </c>
      <c r="D22" s="2"/>
      <c r="E22" s="8">
        <v>0.39</v>
      </c>
      <c r="G22" s="14">
        <f t="shared" si="0"/>
        <v>3.9199999999999591</v>
      </c>
    </row>
    <row r="23" spans="1:7" ht="15.5" x14ac:dyDescent="0.35">
      <c r="A23" s="6" t="s">
        <v>17</v>
      </c>
      <c r="B23" s="7">
        <v>1886.71</v>
      </c>
      <c r="C23" s="7">
        <v>1890.6790000000001</v>
      </c>
      <c r="D23" s="3"/>
      <c r="E23" s="10">
        <v>-0.21</v>
      </c>
      <c r="G23" s="14">
        <f t="shared" si="0"/>
        <v>-3.9690000000000509</v>
      </c>
    </row>
    <row r="24" spans="1:7" ht="15.5" x14ac:dyDescent="0.35">
      <c r="A24" s="6" t="s">
        <v>18</v>
      </c>
      <c r="B24" s="9">
        <v>100.43</v>
      </c>
      <c r="C24" s="9">
        <v>100.289</v>
      </c>
      <c r="D24" s="3"/>
      <c r="E24" s="8">
        <v>0.14000000000000001</v>
      </c>
      <c r="G24" s="14">
        <f t="shared" si="0"/>
        <v>0.14100000000000534</v>
      </c>
    </row>
    <row r="25" spans="1:7" ht="15.5" x14ac:dyDescent="0.35">
      <c r="A25" s="6" t="s">
        <v>19</v>
      </c>
      <c r="B25" s="9">
        <v>100.121</v>
      </c>
      <c r="C25" s="9">
        <v>100.066</v>
      </c>
      <c r="D25" s="3"/>
      <c r="E25" s="8">
        <v>0.05</v>
      </c>
      <c r="G25" s="14">
        <f t="shared" si="0"/>
        <v>5.499999999999261E-2</v>
      </c>
    </row>
    <row r="26" spans="1:7" ht="15.5" x14ac:dyDescent="0.35">
      <c r="A26" s="6" t="s">
        <v>20</v>
      </c>
      <c r="B26" s="9">
        <v>99.902000000000001</v>
      </c>
      <c r="C26" s="9">
        <v>99.902000000000001</v>
      </c>
      <c r="D26" s="3"/>
      <c r="E26" s="8">
        <v>0</v>
      </c>
      <c r="G26" s="14">
        <f t="shared" si="0"/>
        <v>0</v>
      </c>
    </row>
    <row r="27" spans="1:7" x14ac:dyDescent="0.35">
      <c r="A27" s="11" t="s">
        <v>21</v>
      </c>
      <c r="B27" s="9">
        <v>0.88500000000000001</v>
      </c>
      <c r="C27" s="9">
        <v>0.87</v>
      </c>
      <c r="D27" s="3"/>
      <c r="E27" s="8">
        <v>1.72</v>
      </c>
      <c r="G27" s="14">
        <f t="shared" si="0"/>
        <v>1.5000000000000013E-2</v>
      </c>
    </row>
    <row r="28" spans="1:7" x14ac:dyDescent="0.35">
      <c r="A28" s="11" t="s">
        <v>22</v>
      </c>
      <c r="B28" s="9">
        <v>1.01</v>
      </c>
      <c r="C28" s="9">
        <v>1</v>
      </c>
      <c r="D28" s="3"/>
      <c r="E28" s="8">
        <v>1</v>
      </c>
      <c r="G28" s="14">
        <f t="shared" si="0"/>
        <v>1.0000000000000009E-2</v>
      </c>
    </row>
    <row r="29" spans="1:7" ht="15.5" x14ac:dyDescent="0.35">
      <c r="A29" s="6" t="s">
        <v>23</v>
      </c>
      <c r="B29" s="9">
        <v>100.18</v>
      </c>
      <c r="C29" s="9">
        <v>99.897999999999996</v>
      </c>
      <c r="D29" s="3"/>
      <c r="E29" s="8">
        <v>0.28000000000000003</v>
      </c>
      <c r="G29" s="14">
        <f t="shared" si="0"/>
        <v>0.28200000000001069</v>
      </c>
    </row>
    <row r="30" spans="1:7" ht="15.5" x14ac:dyDescent="0.35">
      <c r="A30" s="6" t="s">
        <v>24</v>
      </c>
      <c r="B30" s="7">
        <v>15543.33</v>
      </c>
      <c r="C30" s="7">
        <v>15629.47</v>
      </c>
      <c r="D30" s="3"/>
      <c r="E30" s="10">
        <v>-0.55000000000000004</v>
      </c>
      <c r="G30" s="14">
        <f t="shared" si="0"/>
        <v>-86.139999999999418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4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42872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20606.93</v>
      </c>
      <c r="C7" s="7">
        <v>20979.75</v>
      </c>
      <c r="D7" s="3"/>
      <c r="E7" s="10">
        <v>-1.78</v>
      </c>
      <c r="G7" s="14">
        <f>B7-C7</f>
        <v>-372.81999999999971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1693.71</v>
      </c>
      <c r="C9" s="7">
        <v>1729.5</v>
      </c>
      <c r="D9" s="3"/>
      <c r="E9" s="10">
        <v>-2.0699999999999998</v>
      </c>
      <c r="G9" s="14">
        <f t="shared" ref="G9:G30" si="0">B9-C9</f>
        <v>-35.789999999999964</v>
      </c>
    </row>
    <row r="10" spans="1:7" ht="15.5" x14ac:dyDescent="0.35">
      <c r="A10" s="6" t="s">
        <v>7</v>
      </c>
      <c r="B10" s="7">
        <v>2357.37</v>
      </c>
      <c r="C10" s="7">
        <v>2400.61</v>
      </c>
      <c r="D10" s="3"/>
      <c r="E10" s="10">
        <v>-1.8</v>
      </c>
      <c r="G10" s="14">
        <f t="shared" si="0"/>
        <v>-43.240000000000236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1306.307</v>
      </c>
      <c r="C12" s="7">
        <v>1330.2260000000001</v>
      </c>
      <c r="D12" s="2"/>
      <c r="E12" s="10">
        <v>-1.8</v>
      </c>
      <c r="G12" s="14">
        <f t="shared" si="0"/>
        <v>-23.919000000000096</v>
      </c>
    </row>
    <row r="13" spans="1:7" ht="15.5" x14ac:dyDescent="0.35">
      <c r="A13" s="6" t="s">
        <v>9</v>
      </c>
      <c r="B13" s="7">
        <v>1356.018</v>
      </c>
      <c r="C13" s="7">
        <v>1394.5830000000001</v>
      </c>
      <c r="D13" s="2"/>
      <c r="E13" s="10">
        <v>-2.77</v>
      </c>
      <c r="G13" s="14">
        <f t="shared" si="0"/>
        <v>-38.565000000000055</v>
      </c>
    </row>
    <row r="14" spans="1:7" ht="15.5" x14ac:dyDescent="0.35">
      <c r="A14" s="6" t="s">
        <v>10</v>
      </c>
      <c r="B14" s="7">
        <v>1395.498</v>
      </c>
      <c r="C14" s="7">
        <v>1422.0830000000001</v>
      </c>
      <c r="D14" s="2"/>
      <c r="E14" s="10">
        <v>-1.87</v>
      </c>
      <c r="G14" s="14">
        <f t="shared" si="0"/>
        <v>-26.585000000000036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11424.21</v>
      </c>
      <c r="C16" s="7">
        <v>11606.29</v>
      </c>
      <c r="D16" s="3"/>
      <c r="E16" s="10">
        <v>-1.57</v>
      </c>
      <c r="G16" s="14">
        <f t="shared" si="0"/>
        <v>-182.08000000000175</v>
      </c>
    </row>
    <row r="17" spans="1:7" ht="15.5" x14ac:dyDescent="0.35">
      <c r="A17" s="6" t="s">
        <v>12</v>
      </c>
      <c r="B17" s="7">
        <v>6011.2359999999999</v>
      </c>
      <c r="C17" s="7">
        <v>6169.87</v>
      </c>
      <c r="D17" s="3"/>
      <c r="E17" s="10">
        <v>-2.57</v>
      </c>
      <c r="G17" s="14">
        <f t="shared" si="0"/>
        <v>-158.63400000000001</v>
      </c>
    </row>
    <row r="18" spans="1:7" ht="15.5" x14ac:dyDescent="0.35">
      <c r="A18" s="6" t="s">
        <v>13</v>
      </c>
      <c r="B18" s="7">
        <v>2587.6010000000001</v>
      </c>
      <c r="C18" s="7">
        <v>2606.451</v>
      </c>
      <c r="D18" s="3"/>
      <c r="E18" s="10">
        <v>-0.72</v>
      </c>
      <c r="G18" s="14">
        <f t="shared" si="0"/>
        <v>-18.849999999999909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1882.62</v>
      </c>
      <c r="C20" s="7">
        <v>1906.47</v>
      </c>
      <c r="D20" s="2"/>
      <c r="E20" s="10">
        <v>-1.25</v>
      </c>
      <c r="G20" s="14">
        <f t="shared" si="0"/>
        <v>-23.850000000000136</v>
      </c>
    </row>
    <row r="21" spans="1:7" ht="15.5" x14ac:dyDescent="0.35">
      <c r="A21" s="6" t="s">
        <v>15</v>
      </c>
      <c r="B21" s="7">
        <v>1885.99</v>
      </c>
      <c r="C21" s="7">
        <v>1889.95</v>
      </c>
      <c r="D21" s="2"/>
      <c r="E21" s="10">
        <v>-0.21</v>
      </c>
      <c r="G21" s="14">
        <f t="shared" si="0"/>
        <v>-3.9600000000000364</v>
      </c>
    </row>
    <row r="22" spans="1:7" ht="31" x14ac:dyDescent="0.35">
      <c r="A22" s="6" t="s">
        <v>16</v>
      </c>
      <c r="B22" s="7">
        <v>1006.82</v>
      </c>
      <c r="C22" s="7">
        <v>1015.61</v>
      </c>
      <c r="D22" s="2"/>
      <c r="E22" s="10">
        <v>-0.87</v>
      </c>
      <c r="G22" s="14">
        <f t="shared" si="0"/>
        <v>-8.7899999999999636</v>
      </c>
    </row>
    <row r="23" spans="1:7" ht="15.5" x14ac:dyDescent="0.35">
      <c r="A23" s="6" t="s">
        <v>17</v>
      </c>
      <c r="B23" s="7">
        <v>1854.47</v>
      </c>
      <c r="C23" s="7">
        <v>1886.7070000000001</v>
      </c>
      <c r="D23" s="3"/>
      <c r="E23" s="10">
        <v>-1.71</v>
      </c>
      <c r="G23" s="14">
        <f t="shared" si="0"/>
        <v>-32.23700000000008</v>
      </c>
    </row>
    <row r="24" spans="1:7" ht="15.5" x14ac:dyDescent="0.35">
      <c r="A24" s="6" t="s">
        <v>18</v>
      </c>
      <c r="B24" s="9">
        <v>101.367</v>
      </c>
      <c r="C24" s="9">
        <v>100.43</v>
      </c>
      <c r="D24" s="3"/>
      <c r="E24" s="8">
        <v>0.93</v>
      </c>
      <c r="G24" s="14">
        <f t="shared" si="0"/>
        <v>0.93699999999999761</v>
      </c>
    </row>
    <row r="25" spans="1:7" ht="15.5" x14ac:dyDescent="0.35">
      <c r="A25" s="6" t="s">
        <v>19</v>
      </c>
      <c r="B25" s="9">
        <v>100.59</v>
      </c>
      <c r="C25" s="9">
        <v>100.121</v>
      </c>
      <c r="D25" s="3"/>
      <c r="E25" s="8">
        <v>0.47</v>
      </c>
      <c r="G25" s="14">
        <f t="shared" si="0"/>
        <v>0.4690000000000083</v>
      </c>
    </row>
    <row r="26" spans="1:7" ht="15.5" x14ac:dyDescent="0.35">
      <c r="A26" s="6" t="s">
        <v>20</v>
      </c>
      <c r="B26" s="9">
        <v>100.012</v>
      </c>
      <c r="C26" s="9">
        <v>99.902000000000001</v>
      </c>
      <c r="D26" s="3"/>
      <c r="E26" s="8">
        <v>0.11</v>
      </c>
      <c r="G26" s="14">
        <f t="shared" si="0"/>
        <v>0.10999999999999943</v>
      </c>
    </row>
    <row r="27" spans="1:7" x14ac:dyDescent="0.35">
      <c r="A27" s="11" t="s">
        <v>21</v>
      </c>
      <c r="B27" s="9">
        <v>0.88</v>
      </c>
      <c r="C27" s="9">
        <v>0.88500000000000001</v>
      </c>
      <c r="D27" s="3"/>
      <c r="E27" s="10">
        <v>-0.56000000000000005</v>
      </c>
      <c r="G27" s="14">
        <f t="shared" si="0"/>
        <v>-5.0000000000000044E-3</v>
      </c>
    </row>
    <row r="28" spans="1:7" x14ac:dyDescent="0.35">
      <c r="A28" s="11" t="s">
        <v>22</v>
      </c>
      <c r="B28" s="9">
        <v>0.97499999999999998</v>
      </c>
      <c r="C28" s="9">
        <v>1.01</v>
      </c>
      <c r="D28" s="3"/>
      <c r="E28" s="10">
        <v>-3.47</v>
      </c>
      <c r="G28" s="14">
        <f t="shared" si="0"/>
        <v>-3.5000000000000031E-2</v>
      </c>
    </row>
    <row r="29" spans="1:7" ht="15.5" x14ac:dyDescent="0.35">
      <c r="A29" s="6" t="s">
        <v>23</v>
      </c>
      <c r="B29" s="9">
        <v>101.875</v>
      </c>
      <c r="C29" s="9">
        <v>100.18</v>
      </c>
      <c r="D29" s="3"/>
      <c r="E29" s="8">
        <v>1.69</v>
      </c>
      <c r="G29" s="14">
        <f t="shared" si="0"/>
        <v>1.6949999999999932</v>
      </c>
    </row>
    <row r="30" spans="1:7" ht="15.5" x14ac:dyDescent="0.35">
      <c r="A30" s="6" t="s">
        <v>24</v>
      </c>
      <c r="B30" s="7">
        <v>15273.68</v>
      </c>
      <c r="C30" s="7">
        <v>15543.33</v>
      </c>
      <c r="D30" s="3"/>
      <c r="E30" s="10">
        <v>-1.73</v>
      </c>
      <c r="G30" s="14">
        <f t="shared" si="0"/>
        <v>-269.64999999999964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4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42873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20663.02</v>
      </c>
      <c r="C7" s="7">
        <v>20606.93</v>
      </c>
      <c r="D7" s="3"/>
      <c r="E7" s="8">
        <v>0.27</v>
      </c>
      <c r="G7" s="14">
        <f>B7-C7</f>
        <v>56.090000000000146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1695.04</v>
      </c>
      <c r="C9" s="7">
        <v>1693.71</v>
      </c>
      <c r="D9" s="3"/>
      <c r="E9" s="8">
        <v>0.08</v>
      </c>
      <c r="G9" s="14">
        <f t="shared" ref="G9:G30" si="0">B9-C9</f>
        <v>1.3299999999999272</v>
      </c>
    </row>
    <row r="10" spans="1:7" ht="15.5" x14ac:dyDescent="0.35">
      <c r="A10" s="6" t="s">
        <v>7</v>
      </c>
      <c r="B10" s="7">
        <v>2365.75</v>
      </c>
      <c r="C10" s="7">
        <v>2357.37</v>
      </c>
      <c r="D10" s="3"/>
      <c r="E10" s="8">
        <v>0.36</v>
      </c>
      <c r="G10" s="14">
        <f t="shared" si="0"/>
        <v>8.3800000000001091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1310.8440000000001</v>
      </c>
      <c r="C12" s="7">
        <v>1306.307</v>
      </c>
      <c r="D12" s="2"/>
      <c r="E12" s="8">
        <v>0.35</v>
      </c>
      <c r="G12" s="14">
        <f t="shared" si="0"/>
        <v>4.5370000000000346</v>
      </c>
    </row>
    <row r="13" spans="1:7" ht="15.5" x14ac:dyDescent="0.35">
      <c r="A13" s="6" t="s">
        <v>9</v>
      </c>
      <c r="B13" s="7">
        <v>1360.9780000000001</v>
      </c>
      <c r="C13" s="7">
        <v>1356.018</v>
      </c>
      <c r="D13" s="2"/>
      <c r="E13" s="8">
        <v>0.37</v>
      </c>
      <c r="G13" s="14">
        <f t="shared" si="0"/>
        <v>4.9600000000000364</v>
      </c>
    </row>
    <row r="14" spans="1:7" ht="15.5" x14ac:dyDescent="0.35">
      <c r="A14" s="6" t="s">
        <v>10</v>
      </c>
      <c r="B14" s="7">
        <v>1400.3430000000001</v>
      </c>
      <c r="C14" s="7">
        <v>1395.498</v>
      </c>
      <c r="D14" s="2"/>
      <c r="E14" s="8">
        <v>0.35</v>
      </c>
      <c r="G14" s="14">
        <f t="shared" si="0"/>
        <v>4.8450000000000273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11434.32</v>
      </c>
      <c r="C16" s="7">
        <v>11424.21</v>
      </c>
      <c r="D16" s="3"/>
      <c r="E16" s="8">
        <v>0.09</v>
      </c>
      <c r="G16" s="14">
        <f t="shared" si="0"/>
        <v>10.110000000000582</v>
      </c>
    </row>
    <row r="17" spans="1:7" ht="15.5" x14ac:dyDescent="0.35">
      <c r="A17" s="6" t="s">
        <v>12</v>
      </c>
      <c r="B17" s="7">
        <v>6055.13</v>
      </c>
      <c r="C17" s="7">
        <v>6011.2359999999999</v>
      </c>
      <c r="D17" s="3"/>
      <c r="E17" s="8">
        <v>0.73</v>
      </c>
      <c r="G17" s="14">
        <f t="shared" si="0"/>
        <v>43.894000000000233</v>
      </c>
    </row>
    <row r="18" spans="1:7" ht="15.5" x14ac:dyDescent="0.35">
      <c r="A18" s="6" t="s">
        <v>13</v>
      </c>
      <c r="B18" s="7">
        <v>2560.39</v>
      </c>
      <c r="C18" s="7">
        <v>2587.6010000000001</v>
      </c>
      <c r="D18" s="3"/>
      <c r="E18" s="10">
        <v>-1.05</v>
      </c>
      <c r="G18" s="14">
        <f t="shared" si="0"/>
        <v>-27.21100000000024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1880.96</v>
      </c>
      <c r="C20" s="7">
        <v>1882.62</v>
      </c>
      <c r="D20" s="2"/>
      <c r="E20" s="10">
        <v>-0.09</v>
      </c>
      <c r="G20" s="14">
        <f t="shared" si="0"/>
        <v>-1.6599999999998545</v>
      </c>
    </row>
    <row r="21" spans="1:7" ht="15.5" x14ac:dyDescent="0.35">
      <c r="A21" s="6" t="s">
        <v>15</v>
      </c>
      <c r="B21" s="7">
        <v>1868.75</v>
      </c>
      <c r="C21" s="7">
        <v>1885.99</v>
      </c>
      <c r="D21" s="2"/>
      <c r="E21" s="10">
        <v>-0.91</v>
      </c>
      <c r="G21" s="14">
        <f t="shared" si="0"/>
        <v>-17.240000000000009</v>
      </c>
    </row>
    <row r="22" spans="1:7" ht="31" x14ac:dyDescent="0.35">
      <c r="A22" s="6" t="s">
        <v>16</v>
      </c>
      <c r="B22" s="9">
        <v>988.38</v>
      </c>
      <c r="C22" s="7">
        <v>1006.82</v>
      </c>
      <c r="D22" s="2"/>
      <c r="E22" s="10">
        <v>-1.83</v>
      </c>
      <c r="G22" s="14">
        <f t="shared" si="0"/>
        <v>-18.440000000000055</v>
      </c>
    </row>
    <row r="23" spans="1:7" ht="15.5" x14ac:dyDescent="0.35">
      <c r="A23" s="6" t="s">
        <v>17</v>
      </c>
      <c r="B23" s="7">
        <v>1859.97</v>
      </c>
      <c r="C23" s="7">
        <v>1854.4670000000001</v>
      </c>
      <c r="D23" s="3"/>
      <c r="E23" s="8">
        <v>0.3</v>
      </c>
      <c r="G23" s="14">
        <f t="shared" si="0"/>
        <v>5.5029999999999291</v>
      </c>
    </row>
    <row r="24" spans="1:7" ht="15.5" x14ac:dyDescent="0.35">
      <c r="A24" s="6" t="s">
        <v>18</v>
      </c>
      <c r="B24" s="9">
        <v>101.32</v>
      </c>
      <c r="C24" s="9">
        <v>101.367</v>
      </c>
      <c r="D24" s="3"/>
      <c r="E24" s="10">
        <v>-0.05</v>
      </c>
      <c r="G24" s="14">
        <f t="shared" si="0"/>
        <v>-4.7000000000011255E-2</v>
      </c>
    </row>
    <row r="25" spans="1:7" ht="15.5" x14ac:dyDescent="0.35">
      <c r="A25" s="6" t="s">
        <v>19</v>
      </c>
      <c r="B25" s="9">
        <v>100.5</v>
      </c>
      <c r="C25" s="9">
        <v>100.59</v>
      </c>
      <c r="D25" s="3"/>
      <c r="E25" s="10">
        <v>-0.09</v>
      </c>
      <c r="G25" s="14">
        <f t="shared" si="0"/>
        <v>-9.0000000000003411E-2</v>
      </c>
    </row>
    <row r="26" spans="1:7" ht="15.5" x14ac:dyDescent="0.35">
      <c r="A26" s="6" t="s">
        <v>20</v>
      </c>
      <c r="B26" s="9">
        <v>99.965000000000003</v>
      </c>
      <c r="C26" s="9">
        <v>100.012</v>
      </c>
      <c r="D26" s="3"/>
      <c r="E26" s="10">
        <v>-0.05</v>
      </c>
      <c r="G26" s="14">
        <f t="shared" si="0"/>
        <v>-4.6999999999997044E-2</v>
      </c>
    </row>
    <row r="27" spans="1:7" x14ac:dyDescent="0.35">
      <c r="A27" s="11" t="s">
        <v>21</v>
      </c>
      <c r="B27" s="9">
        <v>0.89500000000000002</v>
      </c>
      <c r="C27" s="9">
        <v>0.88</v>
      </c>
      <c r="D27" s="3"/>
      <c r="E27" s="8">
        <v>1.7</v>
      </c>
      <c r="G27" s="14">
        <f t="shared" si="0"/>
        <v>1.5000000000000013E-2</v>
      </c>
    </row>
    <row r="28" spans="1:7" x14ac:dyDescent="0.35">
      <c r="A28" s="11" t="s">
        <v>22</v>
      </c>
      <c r="B28" s="9">
        <v>0.99</v>
      </c>
      <c r="C28" s="9">
        <v>0.97499999999999998</v>
      </c>
      <c r="D28" s="3"/>
      <c r="E28" s="8">
        <v>1.54</v>
      </c>
      <c r="G28" s="14">
        <f t="shared" si="0"/>
        <v>1.5000000000000013E-2</v>
      </c>
    </row>
    <row r="29" spans="1:7" ht="15.5" x14ac:dyDescent="0.35">
      <c r="A29" s="6" t="s">
        <v>23</v>
      </c>
      <c r="B29" s="9">
        <v>101.96899999999999</v>
      </c>
      <c r="C29" s="9">
        <v>101.875</v>
      </c>
      <c r="D29" s="3"/>
      <c r="E29" s="8">
        <v>0.09</v>
      </c>
      <c r="G29" s="14">
        <f t="shared" si="0"/>
        <v>9.3999999999994088E-2</v>
      </c>
    </row>
    <row r="30" spans="1:7" ht="15.5" x14ac:dyDescent="0.35">
      <c r="A30" s="6" t="s">
        <v>24</v>
      </c>
      <c r="B30" s="7">
        <v>15277.2</v>
      </c>
      <c r="C30" s="7">
        <v>15273.68</v>
      </c>
      <c r="D30" s="3"/>
      <c r="E30" s="8">
        <v>0.02</v>
      </c>
      <c r="G30" s="14">
        <f t="shared" si="0"/>
        <v>3.5200000000004366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4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42874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20804.84</v>
      </c>
      <c r="C7" s="7">
        <v>20663.02</v>
      </c>
      <c r="D7" s="3"/>
      <c r="E7" s="8">
        <v>0.69</v>
      </c>
      <c r="G7" s="14">
        <f>B7-C7</f>
        <v>141.81999999999971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1712.07</v>
      </c>
      <c r="C9" s="7">
        <v>1695.04</v>
      </c>
      <c r="D9" s="3"/>
      <c r="E9" s="8">
        <v>1</v>
      </c>
      <c r="G9" s="14">
        <f t="shared" ref="G9:G30" si="0">B9-C9</f>
        <v>17.029999999999973</v>
      </c>
    </row>
    <row r="10" spans="1:7" ht="15.5" x14ac:dyDescent="0.35">
      <c r="A10" s="6" t="s">
        <v>7</v>
      </c>
      <c r="B10" s="7">
        <v>2381.63</v>
      </c>
      <c r="C10" s="7">
        <v>2365.75</v>
      </c>
      <c r="D10" s="3"/>
      <c r="E10" s="8">
        <v>0.67</v>
      </c>
      <c r="G10" s="14">
        <f t="shared" si="0"/>
        <v>15.880000000000109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1319.971</v>
      </c>
      <c r="C12" s="7">
        <v>1310.8440000000001</v>
      </c>
      <c r="D12" s="2"/>
      <c r="E12" s="8">
        <v>0.7</v>
      </c>
      <c r="G12" s="14">
        <f t="shared" si="0"/>
        <v>9.1269999999999527</v>
      </c>
    </row>
    <row r="13" spans="1:7" ht="15.5" x14ac:dyDescent="0.35">
      <c r="A13" s="6" t="s">
        <v>9</v>
      </c>
      <c r="B13" s="7">
        <v>1367.2560000000001</v>
      </c>
      <c r="C13" s="7">
        <v>1360.9780000000001</v>
      </c>
      <c r="D13" s="2"/>
      <c r="E13" s="8">
        <v>0.46</v>
      </c>
      <c r="G13" s="14">
        <f t="shared" si="0"/>
        <v>6.27800000000002</v>
      </c>
    </row>
    <row r="14" spans="1:7" ht="15.5" x14ac:dyDescent="0.35">
      <c r="A14" s="6" t="s">
        <v>10</v>
      </c>
      <c r="B14" s="7">
        <v>1409.84</v>
      </c>
      <c r="C14" s="7">
        <v>1400.3430000000001</v>
      </c>
      <c r="D14" s="2"/>
      <c r="E14" s="8">
        <v>0.68</v>
      </c>
      <c r="G14" s="14">
        <f t="shared" si="0"/>
        <v>9.4969999999998436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11542.23</v>
      </c>
      <c r="C16" s="7">
        <v>11434.32</v>
      </c>
      <c r="D16" s="3"/>
      <c r="E16" s="8">
        <v>0.94</v>
      </c>
      <c r="G16" s="14">
        <f t="shared" si="0"/>
        <v>107.90999999999985</v>
      </c>
    </row>
    <row r="17" spans="1:7" ht="15.5" x14ac:dyDescent="0.35">
      <c r="A17" s="6" t="s">
        <v>12</v>
      </c>
      <c r="B17" s="7">
        <v>6083.7030000000004</v>
      </c>
      <c r="C17" s="7">
        <v>6055.13</v>
      </c>
      <c r="D17" s="3"/>
      <c r="E17" s="8">
        <v>0.47</v>
      </c>
      <c r="G17" s="14">
        <f t="shared" si="0"/>
        <v>28.57300000000032</v>
      </c>
    </row>
    <row r="18" spans="1:7" ht="15.5" x14ac:dyDescent="0.35">
      <c r="A18" s="6" t="s">
        <v>13</v>
      </c>
      <c r="B18" s="7">
        <v>2596.2829999999999</v>
      </c>
      <c r="C18" s="7">
        <v>2560.39</v>
      </c>
      <c r="D18" s="3"/>
      <c r="E18" s="8">
        <v>1.4</v>
      </c>
      <c r="G18" s="14">
        <f t="shared" si="0"/>
        <v>35.893000000000029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1894.77</v>
      </c>
      <c r="C20" s="7">
        <v>1880.96</v>
      </c>
      <c r="D20" s="2"/>
      <c r="E20" s="8">
        <v>0.73</v>
      </c>
      <c r="G20" s="14">
        <f t="shared" si="0"/>
        <v>13.809999999999945</v>
      </c>
    </row>
    <row r="21" spans="1:7" ht="15.5" x14ac:dyDescent="0.35">
      <c r="A21" s="6" t="s">
        <v>15</v>
      </c>
      <c r="B21" s="7">
        <v>1882.75</v>
      </c>
      <c r="C21" s="7">
        <v>1868.75</v>
      </c>
      <c r="D21" s="2"/>
      <c r="E21" s="8">
        <v>0.75</v>
      </c>
      <c r="G21" s="14">
        <f t="shared" si="0"/>
        <v>14</v>
      </c>
    </row>
    <row r="22" spans="1:7" ht="31" x14ac:dyDescent="0.35">
      <c r="A22" s="6" t="s">
        <v>16</v>
      </c>
      <c r="B22" s="9">
        <v>999.3</v>
      </c>
      <c r="C22" s="9">
        <v>988.38</v>
      </c>
      <c r="D22" s="2"/>
      <c r="E22" s="8">
        <v>1.1000000000000001</v>
      </c>
      <c r="G22" s="14">
        <f t="shared" si="0"/>
        <v>10.919999999999959</v>
      </c>
    </row>
    <row r="23" spans="1:7" ht="15.5" x14ac:dyDescent="0.35">
      <c r="A23" s="6" t="s">
        <v>17</v>
      </c>
      <c r="B23" s="7">
        <v>1876.93</v>
      </c>
      <c r="C23" s="7">
        <v>1859.97</v>
      </c>
      <c r="D23" s="3"/>
      <c r="E23" s="8">
        <v>0.91</v>
      </c>
      <c r="G23" s="14">
        <f t="shared" si="0"/>
        <v>16.960000000000036</v>
      </c>
    </row>
    <row r="24" spans="1:7" ht="15.5" x14ac:dyDescent="0.35">
      <c r="A24" s="6" t="s">
        <v>18</v>
      </c>
      <c r="B24" s="9">
        <v>101.289</v>
      </c>
      <c r="C24" s="9">
        <v>101.32</v>
      </c>
      <c r="D24" s="3"/>
      <c r="E24" s="10">
        <v>-0.03</v>
      </c>
      <c r="G24" s="14">
        <f t="shared" si="0"/>
        <v>-3.0999999999991701E-2</v>
      </c>
    </row>
    <row r="25" spans="1:7" ht="15.5" x14ac:dyDescent="0.35">
      <c r="A25" s="6" t="s">
        <v>19</v>
      </c>
      <c r="B25" s="9">
        <v>100.48</v>
      </c>
      <c r="C25" s="9">
        <v>100.5</v>
      </c>
      <c r="D25" s="3"/>
      <c r="E25" s="10">
        <v>-0.02</v>
      </c>
      <c r="G25" s="14">
        <f t="shared" si="0"/>
        <v>-1.9999999999996021E-2</v>
      </c>
    </row>
    <row r="26" spans="1:7" ht="15.5" x14ac:dyDescent="0.35">
      <c r="A26" s="6" t="s">
        <v>20</v>
      </c>
      <c r="B26" s="9">
        <v>99.965000000000003</v>
      </c>
      <c r="C26" s="9">
        <v>99.965000000000003</v>
      </c>
      <c r="D26" s="3"/>
      <c r="E26" s="8">
        <v>0</v>
      </c>
      <c r="G26" s="14">
        <f t="shared" si="0"/>
        <v>0</v>
      </c>
    </row>
    <row r="27" spans="1:7" x14ac:dyDescent="0.35">
      <c r="A27" s="11" t="s">
        <v>21</v>
      </c>
      <c r="B27" s="9">
        <v>0.89500000000000002</v>
      </c>
      <c r="C27" s="9">
        <v>0.89500000000000002</v>
      </c>
      <c r="D27" s="3"/>
      <c r="E27" s="8">
        <v>0</v>
      </c>
      <c r="G27" s="14">
        <f t="shared" si="0"/>
        <v>0</v>
      </c>
    </row>
    <row r="28" spans="1:7" x14ac:dyDescent="0.35">
      <c r="A28" s="11" t="s">
        <v>22</v>
      </c>
      <c r="B28" s="9">
        <v>0.995</v>
      </c>
      <c r="C28" s="9">
        <v>0.99</v>
      </c>
      <c r="D28" s="3"/>
      <c r="E28" s="8">
        <v>0.51</v>
      </c>
      <c r="G28" s="14">
        <f t="shared" si="0"/>
        <v>5.0000000000000044E-3</v>
      </c>
    </row>
    <row r="29" spans="1:7" ht="15.5" x14ac:dyDescent="0.35">
      <c r="A29" s="6" t="s">
        <v>23</v>
      </c>
      <c r="B29" s="9">
        <v>102.117</v>
      </c>
      <c r="C29" s="9">
        <v>101.96899999999999</v>
      </c>
      <c r="D29" s="3"/>
      <c r="E29" s="8">
        <v>0.15</v>
      </c>
      <c r="G29" s="14">
        <f t="shared" si="0"/>
        <v>0.14800000000001035</v>
      </c>
    </row>
    <row r="30" spans="1:7" ht="15.5" x14ac:dyDescent="0.35">
      <c r="A30" s="6" t="s">
        <v>24</v>
      </c>
      <c r="B30" s="7">
        <v>15458.46</v>
      </c>
      <c r="C30" s="7">
        <v>15277.2</v>
      </c>
      <c r="D30" s="3"/>
      <c r="E30" s="8">
        <v>1.19</v>
      </c>
      <c r="G30" s="14">
        <f t="shared" si="0"/>
        <v>181.2599999999984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5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42877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20894.830000000002</v>
      </c>
      <c r="C7" s="7">
        <v>20804.84</v>
      </c>
      <c r="D7" s="3"/>
      <c r="E7" s="8">
        <v>0.43</v>
      </c>
      <c r="G7" s="15">
        <f>B7-C7</f>
        <v>89.990000000001601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1720.56</v>
      </c>
      <c r="C9" s="7">
        <v>1712.07</v>
      </c>
      <c r="D9" s="3"/>
      <c r="E9" s="8">
        <v>0.5</v>
      </c>
      <c r="G9" s="15">
        <f t="shared" ref="G9:G30" si="0">B9-C9</f>
        <v>8.4900000000000091</v>
      </c>
    </row>
    <row r="10" spans="1:7" ht="15.5" x14ac:dyDescent="0.35">
      <c r="A10" s="6" t="s">
        <v>7</v>
      </c>
      <c r="B10" s="7">
        <v>2393.94</v>
      </c>
      <c r="C10" s="7">
        <v>2381.63</v>
      </c>
      <c r="D10" s="3"/>
      <c r="E10" s="8">
        <v>0.52</v>
      </c>
      <c r="G10" s="15">
        <f t="shared" si="0"/>
        <v>12.309999999999945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1326.94</v>
      </c>
      <c r="C12" s="7">
        <v>1319.971</v>
      </c>
      <c r="D12" s="2"/>
      <c r="E12" s="8">
        <v>0.53</v>
      </c>
      <c r="G12" s="15">
        <f t="shared" si="0"/>
        <v>6.9690000000000509</v>
      </c>
    </row>
    <row r="13" spans="1:7" ht="15.5" x14ac:dyDescent="0.35">
      <c r="A13" s="6" t="s">
        <v>9</v>
      </c>
      <c r="B13" s="7">
        <v>1377.1279999999999</v>
      </c>
      <c r="C13" s="7">
        <v>1367.2560000000001</v>
      </c>
      <c r="D13" s="2"/>
      <c r="E13" s="8">
        <v>0.72</v>
      </c>
      <c r="G13" s="15">
        <f t="shared" si="0"/>
        <v>9.8719999999998436</v>
      </c>
    </row>
    <row r="14" spans="1:7" ht="15.5" x14ac:dyDescent="0.35">
      <c r="A14" s="6" t="s">
        <v>10</v>
      </c>
      <c r="B14" s="7">
        <v>1417.4829999999999</v>
      </c>
      <c r="C14" s="7">
        <v>1409.84</v>
      </c>
      <c r="D14" s="2"/>
      <c r="E14" s="8">
        <v>0.54</v>
      </c>
      <c r="G14" s="15">
        <f t="shared" si="0"/>
        <v>7.6430000000000291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11585.1</v>
      </c>
      <c r="C16" s="7">
        <v>11542.23</v>
      </c>
      <c r="D16" s="3"/>
      <c r="E16" s="8">
        <v>0.37</v>
      </c>
      <c r="G16" s="15">
        <f t="shared" si="0"/>
        <v>42.8700000000008</v>
      </c>
    </row>
    <row r="17" spans="1:7" ht="15.5" x14ac:dyDescent="0.35">
      <c r="A17" s="6" t="s">
        <v>12</v>
      </c>
      <c r="B17" s="7">
        <v>6133.6180000000004</v>
      </c>
      <c r="C17" s="7">
        <v>6083.7030000000004</v>
      </c>
      <c r="D17" s="3"/>
      <c r="E17" s="8">
        <v>0.82</v>
      </c>
      <c r="G17" s="15">
        <f t="shared" si="0"/>
        <v>49.914999999999964</v>
      </c>
    </row>
    <row r="18" spans="1:7" ht="15.5" x14ac:dyDescent="0.35">
      <c r="A18" s="6" t="s">
        <v>13</v>
      </c>
      <c r="B18" s="7">
        <v>2609.4810000000002</v>
      </c>
      <c r="C18" s="7">
        <v>2596.2829999999999</v>
      </c>
      <c r="D18" s="3"/>
      <c r="E18" s="8">
        <v>0.51</v>
      </c>
      <c r="G18" s="15">
        <f t="shared" si="0"/>
        <v>13.19800000000032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1904.92</v>
      </c>
      <c r="C20" s="7">
        <v>1894.77</v>
      </c>
      <c r="D20" s="2"/>
      <c r="E20" s="8">
        <v>0.54</v>
      </c>
      <c r="G20" s="15">
        <f t="shared" si="0"/>
        <v>10.150000000000091</v>
      </c>
    </row>
    <row r="21" spans="1:7" ht="15.5" x14ac:dyDescent="0.35">
      <c r="A21" s="6" t="s">
        <v>15</v>
      </c>
      <c r="B21" s="7">
        <v>1891.42</v>
      </c>
      <c r="C21" s="7">
        <v>1882.75</v>
      </c>
      <c r="D21" s="2"/>
      <c r="E21" s="8">
        <v>0.46</v>
      </c>
      <c r="G21" s="15">
        <f t="shared" si="0"/>
        <v>8.6700000000000728</v>
      </c>
    </row>
    <row r="22" spans="1:7" ht="31" x14ac:dyDescent="0.35">
      <c r="A22" s="6" t="s">
        <v>16</v>
      </c>
      <c r="B22" s="7">
        <v>1004.36</v>
      </c>
      <c r="C22" s="9">
        <v>999.3</v>
      </c>
      <c r="D22" s="2"/>
      <c r="E22" s="8">
        <v>0.51</v>
      </c>
      <c r="G22" s="15">
        <f t="shared" si="0"/>
        <v>5.0600000000000591</v>
      </c>
    </row>
    <row r="23" spans="1:7" ht="15.5" x14ac:dyDescent="0.35">
      <c r="A23" s="6" t="s">
        <v>17</v>
      </c>
      <c r="B23" s="7">
        <v>1888.63</v>
      </c>
      <c r="C23" s="7">
        <v>1876.934</v>
      </c>
      <c r="D23" s="3"/>
      <c r="E23" s="8">
        <v>0.62</v>
      </c>
      <c r="G23" s="15">
        <f t="shared" si="0"/>
        <v>11.69600000000014</v>
      </c>
    </row>
    <row r="24" spans="1:7" ht="15.5" x14ac:dyDescent="0.35">
      <c r="A24" s="6" t="s">
        <v>18</v>
      </c>
      <c r="B24" s="9">
        <v>101.086</v>
      </c>
      <c r="C24" s="9">
        <v>101.289</v>
      </c>
      <c r="D24" s="3"/>
      <c r="E24" s="10">
        <v>-0.2</v>
      </c>
      <c r="G24" s="15">
        <f t="shared" si="0"/>
        <v>-0.20300000000000296</v>
      </c>
    </row>
    <row r="25" spans="1:7" ht="15.5" x14ac:dyDescent="0.35">
      <c r="A25" s="6" t="s">
        <v>19</v>
      </c>
      <c r="B25" s="9">
        <v>100.383</v>
      </c>
      <c r="C25" s="9">
        <v>100.48</v>
      </c>
      <c r="D25" s="3"/>
      <c r="E25" s="10">
        <v>-0.1</v>
      </c>
      <c r="G25" s="15">
        <f t="shared" si="0"/>
        <v>-9.7000000000008413E-2</v>
      </c>
    </row>
    <row r="26" spans="1:7" ht="15.5" x14ac:dyDescent="0.35">
      <c r="A26" s="6" t="s">
        <v>20</v>
      </c>
      <c r="B26" s="9">
        <v>99.948999999999998</v>
      </c>
      <c r="C26" s="9">
        <v>99.965000000000003</v>
      </c>
      <c r="D26" s="3"/>
      <c r="E26" s="10">
        <v>-0.02</v>
      </c>
      <c r="G26" s="15">
        <f t="shared" si="0"/>
        <v>-1.6000000000005343E-2</v>
      </c>
    </row>
    <row r="27" spans="1:7" x14ac:dyDescent="0.35">
      <c r="A27" s="11" t="s">
        <v>21</v>
      </c>
      <c r="B27" s="9">
        <v>0.88500000000000001</v>
      </c>
      <c r="C27" s="9">
        <v>0.89500000000000002</v>
      </c>
      <c r="D27" s="3"/>
      <c r="E27" s="10">
        <v>-1.1200000000000001</v>
      </c>
      <c r="G27" s="15">
        <f t="shared" si="0"/>
        <v>-1.0000000000000009E-2</v>
      </c>
    </row>
    <row r="28" spans="1:7" x14ac:dyDescent="0.35">
      <c r="A28" s="11" t="s">
        <v>22</v>
      </c>
      <c r="B28" s="9">
        <v>1.02</v>
      </c>
      <c r="C28" s="9">
        <v>0.995</v>
      </c>
      <c r="D28" s="3"/>
      <c r="E28" s="8">
        <v>2.5099999999999998</v>
      </c>
      <c r="G28" s="15">
        <f t="shared" si="0"/>
        <v>2.5000000000000022E-2</v>
      </c>
    </row>
    <row r="29" spans="1:7" ht="15.5" x14ac:dyDescent="0.35">
      <c r="A29" s="6" t="s">
        <v>23</v>
      </c>
      <c r="B29" s="9">
        <v>101.75</v>
      </c>
      <c r="C29" s="9">
        <v>102.117</v>
      </c>
      <c r="D29" s="3"/>
      <c r="E29" s="10">
        <v>-0.36</v>
      </c>
      <c r="G29" s="15">
        <f t="shared" si="0"/>
        <v>-0.36700000000000443</v>
      </c>
    </row>
    <row r="30" spans="1:7" ht="15.5" x14ac:dyDescent="0.35">
      <c r="A30" s="6" t="s">
        <v>24</v>
      </c>
      <c r="B30" s="2"/>
      <c r="C30" s="7">
        <v>15458.46</v>
      </c>
      <c r="D30" s="3"/>
      <c r="E30" s="10">
        <v>-100</v>
      </c>
      <c r="G30" s="15">
        <f t="shared" si="0"/>
        <v>-15458.46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4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42878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20937.91</v>
      </c>
      <c r="C7" s="7">
        <v>20894.830000000002</v>
      </c>
      <c r="D7" s="3"/>
      <c r="E7" s="8">
        <v>0.21</v>
      </c>
      <c r="G7" s="14">
        <f>B7-C7</f>
        <v>43.079999999998108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1723.78</v>
      </c>
      <c r="C9" s="7">
        <v>1720.56</v>
      </c>
      <c r="D9" s="3"/>
      <c r="E9" s="8">
        <v>0.19</v>
      </c>
      <c r="G9" s="14">
        <f t="shared" ref="G9:G30" si="0">B9-C9</f>
        <v>3.2200000000000273</v>
      </c>
    </row>
    <row r="10" spans="1:7" ht="15.5" x14ac:dyDescent="0.35">
      <c r="A10" s="6" t="s">
        <v>7</v>
      </c>
      <c r="B10" s="7">
        <v>2398.5</v>
      </c>
      <c r="C10" s="7">
        <v>2393.94</v>
      </c>
      <c r="D10" s="3"/>
      <c r="E10" s="8">
        <v>0.19</v>
      </c>
      <c r="G10" s="14">
        <f t="shared" si="0"/>
        <v>4.5599999999999454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1329.2739999999999</v>
      </c>
      <c r="C12" s="7">
        <v>1326.94</v>
      </c>
      <c r="D12" s="2"/>
      <c r="E12" s="8">
        <v>0.18</v>
      </c>
      <c r="G12" s="14">
        <f t="shared" si="0"/>
        <v>2.3339999999998327</v>
      </c>
    </row>
    <row r="13" spans="1:7" ht="15.5" x14ac:dyDescent="0.35">
      <c r="A13" s="6" t="s">
        <v>9</v>
      </c>
      <c r="B13" s="7">
        <v>1380.9749999999999</v>
      </c>
      <c r="C13" s="7">
        <v>1377.1279999999999</v>
      </c>
      <c r="D13" s="2"/>
      <c r="E13" s="8">
        <v>0.28000000000000003</v>
      </c>
      <c r="G13" s="14">
        <f t="shared" si="0"/>
        <v>3.84699999999998</v>
      </c>
    </row>
    <row r="14" spans="1:7" ht="15.5" x14ac:dyDescent="0.35">
      <c r="A14" s="6" t="s">
        <v>10</v>
      </c>
      <c r="B14" s="7">
        <v>1420.1010000000001</v>
      </c>
      <c r="C14" s="7">
        <v>1417.4829999999999</v>
      </c>
      <c r="D14" s="2"/>
      <c r="E14" s="8">
        <v>0.18</v>
      </c>
      <c r="G14" s="14">
        <f t="shared" si="0"/>
        <v>2.6180000000001655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11604.57</v>
      </c>
      <c r="C16" s="7">
        <v>11585.1</v>
      </c>
      <c r="D16" s="3"/>
      <c r="E16" s="8">
        <v>0.17</v>
      </c>
      <c r="G16" s="14">
        <f t="shared" si="0"/>
        <v>19.469999999999345</v>
      </c>
    </row>
    <row r="17" spans="1:7" ht="15.5" x14ac:dyDescent="0.35">
      <c r="A17" s="6" t="s">
        <v>12</v>
      </c>
      <c r="B17" s="7">
        <v>6138.7120000000004</v>
      </c>
      <c r="C17" s="7">
        <v>6133.6180000000004</v>
      </c>
      <c r="D17" s="3"/>
      <c r="E17" s="8">
        <v>0.08</v>
      </c>
      <c r="G17" s="14">
        <f t="shared" si="0"/>
        <v>5.0940000000000509</v>
      </c>
    </row>
    <row r="18" spans="1:7" ht="15.5" x14ac:dyDescent="0.35">
      <c r="A18" s="6" t="s">
        <v>13</v>
      </c>
      <c r="B18" s="7">
        <v>2589.1970000000001</v>
      </c>
      <c r="C18" s="7">
        <v>2609.4810000000002</v>
      </c>
      <c r="D18" s="3"/>
      <c r="E18" s="10">
        <v>-0.78</v>
      </c>
      <c r="G18" s="14">
        <f t="shared" si="0"/>
        <v>-20.284000000000106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1906.69</v>
      </c>
      <c r="C20" s="7">
        <v>1904.92</v>
      </c>
      <c r="D20" s="3"/>
      <c r="E20" s="8">
        <v>0.09</v>
      </c>
      <c r="G20" s="14">
        <f t="shared" si="0"/>
        <v>1.7699999999999818</v>
      </c>
    </row>
    <row r="21" spans="1:7" ht="15.5" x14ac:dyDescent="0.35">
      <c r="A21" s="6" t="s">
        <v>15</v>
      </c>
      <c r="B21" s="7">
        <v>1892.43</v>
      </c>
      <c r="C21" s="7">
        <v>1891.42</v>
      </c>
      <c r="D21" s="3"/>
      <c r="E21" s="8">
        <v>0.05</v>
      </c>
      <c r="G21" s="14">
        <f t="shared" si="0"/>
        <v>1.0099999999999909</v>
      </c>
    </row>
    <row r="22" spans="1:7" ht="31" x14ac:dyDescent="0.35">
      <c r="A22" s="6" t="s">
        <v>16</v>
      </c>
      <c r="B22" s="7">
        <v>1004.47</v>
      </c>
      <c r="C22" s="7">
        <v>1004.36</v>
      </c>
      <c r="D22" s="3"/>
      <c r="E22" s="8">
        <v>0.01</v>
      </c>
      <c r="G22" s="14">
        <f t="shared" si="0"/>
        <v>0.11000000000001364</v>
      </c>
    </row>
    <row r="23" spans="1:7" ht="15.5" x14ac:dyDescent="0.35">
      <c r="A23" s="6" t="s">
        <v>17</v>
      </c>
      <c r="B23" s="7">
        <v>1888.13</v>
      </c>
      <c r="C23" s="7">
        <v>1888.626</v>
      </c>
      <c r="D23" s="3"/>
      <c r="E23" s="10">
        <v>-0.03</v>
      </c>
      <c r="G23" s="14">
        <f t="shared" si="0"/>
        <v>-0.49599999999986721</v>
      </c>
    </row>
    <row r="24" spans="1:7" ht="15.5" x14ac:dyDescent="0.35">
      <c r="A24" s="6" t="s">
        <v>18</v>
      </c>
      <c r="B24" s="9">
        <v>100.80500000000001</v>
      </c>
      <c r="C24" s="9">
        <v>101.086</v>
      </c>
      <c r="D24" s="3"/>
      <c r="E24" s="10">
        <v>-0.28000000000000003</v>
      </c>
      <c r="G24" s="14">
        <f t="shared" si="0"/>
        <v>-0.2809999999999917</v>
      </c>
    </row>
    <row r="25" spans="1:7" ht="15.5" x14ac:dyDescent="0.35">
      <c r="A25" s="6" t="s">
        <v>19</v>
      </c>
      <c r="B25" s="9">
        <v>100.223</v>
      </c>
      <c r="C25" s="9">
        <v>100.383</v>
      </c>
      <c r="D25" s="3"/>
      <c r="E25" s="10">
        <v>-0.16</v>
      </c>
      <c r="G25" s="14">
        <f t="shared" si="0"/>
        <v>-0.15999999999999659</v>
      </c>
    </row>
    <row r="26" spans="1:7" ht="15.5" x14ac:dyDescent="0.35">
      <c r="A26" s="6" t="s">
        <v>20</v>
      </c>
      <c r="B26" s="9">
        <v>99.894999999999996</v>
      </c>
      <c r="C26" s="9">
        <v>99.948999999999998</v>
      </c>
      <c r="D26" s="3"/>
      <c r="E26" s="10">
        <v>-0.05</v>
      </c>
      <c r="G26" s="14">
        <f t="shared" si="0"/>
        <v>-5.4000000000002046E-2</v>
      </c>
    </row>
    <row r="27" spans="1:7" x14ac:dyDescent="0.35">
      <c r="A27" s="11" t="s">
        <v>21</v>
      </c>
      <c r="B27" s="9">
        <v>0.89</v>
      </c>
      <c r="C27" s="9">
        <v>0.88500000000000001</v>
      </c>
      <c r="D27" s="3"/>
      <c r="E27" s="8">
        <v>0.56000000000000005</v>
      </c>
      <c r="G27" s="14">
        <f t="shared" si="0"/>
        <v>5.0000000000000044E-3</v>
      </c>
    </row>
    <row r="28" spans="1:7" x14ac:dyDescent="0.35">
      <c r="A28" s="11" t="s">
        <v>22</v>
      </c>
      <c r="B28" s="9">
        <v>1.05</v>
      </c>
      <c r="C28" s="9">
        <v>1.02</v>
      </c>
      <c r="D28" s="3"/>
      <c r="E28" s="8">
        <v>2.94</v>
      </c>
      <c r="G28" s="14">
        <f t="shared" si="0"/>
        <v>3.0000000000000027E-2</v>
      </c>
    </row>
    <row r="29" spans="1:7" ht="15.5" x14ac:dyDescent="0.35">
      <c r="A29" s="6" t="s">
        <v>23</v>
      </c>
      <c r="B29" s="9">
        <v>101.10899999999999</v>
      </c>
      <c r="C29" s="9">
        <v>101.75</v>
      </c>
      <c r="D29" s="3"/>
      <c r="E29" s="10">
        <v>-0.63</v>
      </c>
      <c r="G29" s="14">
        <f t="shared" si="0"/>
        <v>-0.64100000000000534</v>
      </c>
    </row>
    <row r="30" spans="1:7" ht="15.5" x14ac:dyDescent="0.35">
      <c r="A30" s="6" t="s">
        <v>24</v>
      </c>
      <c r="B30" s="7">
        <v>15476.94</v>
      </c>
      <c r="C30" s="2"/>
      <c r="D30" s="3"/>
      <c r="E30" s="8" t="e">
        <v>#DIV/0!</v>
      </c>
      <c r="G30" s="14">
        <f t="shared" si="0"/>
        <v>15476.94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G30"/>
  <sheetViews>
    <sheetView workbookViewId="0"/>
  </sheetViews>
  <sheetFormatPr defaultRowHeight="14.5" x14ac:dyDescent="0.35"/>
  <cols>
    <col min="1" max="1" width="37.81640625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4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42879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21012.42</v>
      </c>
      <c r="C7" s="7">
        <v>20937.91</v>
      </c>
      <c r="D7" s="3"/>
      <c r="E7" s="8">
        <v>0.36</v>
      </c>
      <c r="G7" s="14">
        <f>B7-C7</f>
        <v>74.509999999998399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1728.34</v>
      </c>
      <c r="C9" s="7">
        <v>1723.78</v>
      </c>
      <c r="D9" s="3"/>
      <c r="E9" s="8">
        <v>0.26</v>
      </c>
      <c r="G9" s="14">
        <f t="shared" ref="G9:G30" si="0">B9-C9</f>
        <v>4.5599999999999454</v>
      </c>
    </row>
    <row r="10" spans="1:7" ht="15.5" x14ac:dyDescent="0.35">
      <c r="A10" s="6" t="s">
        <v>7</v>
      </c>
      <c r="B10" s="7">
        <v>2404.2800000000002</v>
      </c>
      <c r="C10" s="7">
        <v>2398.5</v>
      </c>
      <c r="D10" s="3"/>
      <c r="E10" s="8">
        <v>0.24</v>
      </c>
      <c r="G10" s="14">
        <f t="shared" si="0"/>
        <v>5.7800000000002001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1332.6179999999999</v>
      </c>
      <c r="C12" s="7">
        <v>1329.2739999999999</v>
      </c>
      <c r="D12" s="2"/>
      <c r="E12" s="8">
        <v>0.25</v>
      </c>
      <c r="G12" s="14">
        <f t="shared" si="0"/>
        <v>3.3440000000000509</v>
      </c>
    </row>
    <row r="13" spans="1:7" ht="15.5" x14ac:dyDescent="0.35">
      <c r="A13" s="6" t="s">
        <v>9</v>
      </c>
      <c r="B13" s="7">
        <v>1382.3920000000001</v>
      </c>
      <c r="C13" s="7">
        <v>1380.9749999999999</v>
      </c>
      <c r="D13" s="2"/>
      <c r="E13" s="8">
        <v>0.1</v>
      </c>
      <c r="G13" s="14">
        <f t="shared" si="0"/>
        <v>1.4170000000001437</v>
      </c>
    </row>
    <row r="14" spans="1:7" ht="15.5" x14ac:dyDescent="0.35">
      <c r="A14" s="6" t="s">
        <v>10</v>
      </c>
      <c r="B14" s="7">
        <v>1423.508</v>
      </c>
      <c r="C14" s="7">
        <v>1420.1010000000001</v>
      </c>
      <c r="D14" s="2"/>
      <c r="E14" s="8">
        <v>0.24</v>
      </c>
      <c r="G14" s="14">
        <f t="shared" si="0"/>
        <v>3.4069999999999254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11621.15</v>
      </c>
      <c r="C16" s="7">
        <v>11604.57</v>
      </c>
      <c r="D16" s="3"/>
      <c r="E16" s="8">
        <v>0.14000000000000001</v>
      </c>
      <c r="G16" s="14">
        <f t="shared" si="0"/>
        <v>16.579999999999927</v>
      </c>
    </row>
    <row r="17" spans="1:7" ht="15.5" x14ac:dyDescent="0.35">
      <c r="A17" s="6" t="s">
        <v>12</v>
      </c>
      <c r="B17" s="7">
        <v>6163.0240000000003</v>
      </c>
      <c r="C17" s="7">
        <v>6138.7120000000004</v>
      </c>
      <c r="D17" s="3"/>
      <c r="E17" s="8">
        <v>0.4</v>
      </c>
      <c r="G17" s="14">
        <f t="shared" si="0"/>
        <v>24.311999999999898</v>
      </c>
    </row>
    <row r="18" spans="1:7" ht="15.5" x14ac:dyDescent="0.35">
      <c r="A18" s="6" t="s">
        <v>13</v>
      </c>
      <c r="B18" s="7">
        <v>2602.2289999999998</v>
      </c>
      <c r="C18" s="7">
        <v>2589.1970000000001</v>
      </c>
      <c r="D18" s="3"/>
      <c r="E18" s="8">
        <v>0.5</v>
      </c>
      <c r="G18" s="14">
        <f t="shared" si="0"/>
        <v>13.031999999999698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1907.81</v>
      </c>
      <c r="C20" s="7">
        <v>1906.69</v>
      </c>
      <c r="D20" s="2"/>
      <c r="E20" s="8">
        <v>0.06</v>
      </c>
      <c r="G20" s="14">
        <f t="shared" si="0"/>
        <v>1.1199999999998909</v>
      </c>
    </row>
    <row r="21" spans="1:7" ht="15.5" x14ac:dyDescent="0.35">
      <c r="A21" s="6" t="s">
        <v>15</v>
      </c>
      <c r="B21" s="7">
        <v>1887.64</v>
      </c>
      <c r="C21" s="7">
        <v>1892.43</v>
      </c>
      <c r="D21" s="2"/>
      <c r="E21" s="10">
        <v>-0.25</v>
      </c>
      <c r="G21" s="14">
        <f t="shared" si="0"/>
        <v>-4.7899999999999636</v>
      </c>
    </row>
    <row r="22" spans="1:7" ht="31" x14ac:dyDescent="0.35">
      <c r="A22" s="6" t="s">
        <v>16</v>
      </c>
      <c r="B22" s="7">
        <v>1005.03</v>
      </c>
      <c r="C22" s="7">
        <v>1004.47</v>
      </c>
      <c r="D22" s="2"/>
      <c r="E22" s="8">
        <v>0.06</v>
      </c>
      <c r="G22" s="14">
        <f t="shared" si="0"/>
        <v>0.55999999999994543</v>
      </c>
    </row>
    <row r="23" spans="1:7" ht="15.5" x14ac:dyDescent="0.35">
      <c r="A23" s="6" t="s">
        <v>17</v>
      </c>
      <c r="B23" s="7">
        <v>1892.44</v>
      </c>
      <c r="C23" s="7">
        <v>1888.126</v>
      </c>
      <c r="D23" s="3"/>
      <c r="E23" s="8">
        <v>0.23</v>
      </c>
      <c r="G23" s="14">
        <f t="shared" si="0"/>
        <v>4.3140000000000782</v>
      </c>
    </row>
    <row r="24" spans="1:7" ht="15.5" x14ac:dyDescent="0.35">
      <c r="A24" s="6" t="s">
        <v>18</v>
      </c>
      <c r="B24" s="9">
        <v>101.102</v>
      </c>
      <c r="C24" s="9">
        <v>100.80500000000001</v>
      </c>
      <c r="D24" s="3"/>
      <c r="E24" s="8">
        <v>0.28999999999999998</v>
      </c>
      <c r="G24" s="14">
        <f t="shared" si="0"/>
        <v>0.29699999999999704</v>
      </c>
    </row>
    <row r="25" spans="1:7" ht="15.5" x14ac:dyDescent="0.35">
      <c r="A25" s="6" t="s">
        <v>19</v>
      </c>
      <c r="B25" s="9">
        <v>100.41800000000001</v>
      </c>
      <c r="C25" s="9">
        <v>100.223</v>
      </c>
      <c r="D25" s="3"/>
      <c r="E25" s="8">
        <v>0.19</v>
      </c>
      <c r="G25" s="14">
        <f t="shared" si="0"/>
        <v>0.19500000000000739</v>
      </c>
    </row>
    <row r="26" spans="1:7" ht="15.5" x14ac:dyDescent="0.35">
      <c r="A26" s="6" t="s">
        <v>20</v>
      </c>
      <c r="B26" s="9">
        <v>99.938000000000002</v>
      </c>
      <c r="C26" s="9">
        <v>99.894999999999996</v>
      </c>
      <c r="D26" s="3"/>
      <c r="E26" s="8">
        <v>0.04</v>
      </c>
      <c r="G26" s="14">
        <f t="shared" si="0"/>
        <v>4.3000000000006366E-2</v>
      </c>
    </row>
    <row r="27" spans="1:7" x14ac:dyDescent="0.35">
      <c r="A27" s="11" t="s">
        <v>21</v>
      </c>
      <c r="B27" s="9">
        <v>0.90500000000000003</v>
      </c>
      <c r="C27" s="9">
        <v>0.89</v>
      </c>
      <c r="D27" s="3"/>
      <c r="E27" s="8">
        <v>1.69</v>
      </c>
      <c r="G27" s="14">
        <f t="shared" si="0"/>
        <v>1.5000000000000013E-2</v>
      </c>
    </row>
    <row r="28" spans="1:7" x14ac:dyDescent="0.35">
      <c r="A28" s="11" t="s">
        <v>22</v>
      </c>
      <c r="B28" s="9">
        <v>1.04</v>
      </c>
      <c r="C28" s="9">
        <v>1.05</v>
      </c>
      <c r="D28" s="3"/>
      <c r="E28" s="10">
        <v>-0.95</v>
      </c>
      <c r="G28" s="14">
        <f t="shared" si="0"/>
        <v>-1.0000000000000009E-2</v>
      </c>
    </row>
    <row r="29" spans="1:7" ht="15.5" x14ac:dyDescent="0.35">
      <c r="A29" s="6" t="s">
        <v>23</v>
      </c>
      <c r="B29" s="9">
        <v>101.57</v>
      </c>
      <c r="C29" s="9">
        <v>101.10899999999999</v>
      </c>
      <c r="D29" s="3"/>
      <c r="E29" s="8">
        <v>0.46</v>
      </c>
      <c r="G29" s="14">
        <f t="shared" si="0"/>
        <v>0.46099999999999852</v>
      </c>
    </row>
    <row r="30" spans="1:7" ht="15.5" x14ac:dyDescent="0.35">
      <c r="A30" s="6" t="s">
        <v>24</v>
      </c>
      <c r="B30" s="7">
        <v>15419.49</v>
      </c>
      <c r="C30" s="7">
        <v>15476.94</v>
      </c>
      <c r="D30" s="3"/>
      <c r="E30" s="10">
        <v>-0.37</v>
      </c>
      <c r="G30" s="14">
        <f t="shared" si="0"/>
        <v>-57.450000000000728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4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42880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21082.95</v>
      </c>
      <c r="C7" s="7">
        <v>21012.42</v>
      </c>
      <c r="D7" s="3"/>
      <c r="E7" s="8">
        <v>0.34</v>
      </c>
      <c r="G7" s="14">
        <f>B7-C7</f>
        <v>70.530000000002474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1731.31</v>
      </c>
      <c r="C9" s="7">
        <v>1728.34</v>
      </c>
      <c r="D9" s="3"/>
      <c r="E9" s="8">
        <v>0.17</v>
      </c>
      <c r="G9" s="14">
        <f t="shared" ref="G9:G30" si="0">B9-C9</f>
        <v>2.9700000000000273</v>
      </c>
    </row>
    <row r="10" spans="1:7" ht="15.5" x14ac:dyDescent="0.35">
      <c r="A10" s="6" t="s">
        <v>7</v>
      </c>
      <c r="B10" s="7">
        <v>2415.0100000000002</v>
      </c>
      <c r="C10" s="7">
        <v>2404.2800000000002</v>
      </c>
      <c r="D10" s="3"/>
      <c r="E10" s="8">
        <v>0.45</v>
      </c>
      <c r="G10" s="14">
        <f t="shared" si="0"/>
        <v>10.730000000000018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1338.2170000000001</v>
      </c>
      <c r="C12" s="7">
        <v>1332.6179999999999</v>
      </c>
      <c r="D12" s="2"/>
      <c r="E12" s="8">
        <v>0.42</v>
      </c>
      <c r="G12" s="14">
        <f t="shared" si="0"/>
        <v>5.5990000000001601</v>
      </c>
    </row>
    <row r="13" spans="1:7" ht="15.5" x14ac:dyDescent="0.35">
      <c r="A13" s="6" t="s">
        <v>9</v>
      </c>
      <c r="B13" s="7">
        <v>1383.386</v>
      </c>
      <c r="C13" s="7">
        <v>1382.3920000000001</v>
      </c>
      <c r="D13" s="2"/>
      <c r="E13" s="8">
        <v>7.0000000000000007E-2</v>
      </c>
      <c r="G13" s="14">
        <f t="shared" si="0"/>
        <v>0.99399999999991451</v>
      </c>
    </row>
    <row r="14" spans="1:7" ht="15.5" x14ac:dyDescent="0.35">
      <c r="A14" s="6" t="s">
        <v>10</v>
      </c>
      <c r="B14" s="7">
        <v>1429.115</v>
      </c>
      <c r="C14" s="7">
        <v>1423.508</v>
      </c>
      <c r="D14" s="2"/>
      <c r="E14" s="8">
        <v>0.39</v>
      </c>
      <c r="G14" s="14">
        <f t="shared" si="0"/>
        <v>5.6069999999999709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11639.1</v>
      </c>
      <c r="C16" s="7">
        <v>11621.15</v>
      </c>
      <c r="D16" s="3"/>
      <c r="E16" s="8">
        <v>0.15</v>
      </c>
      <c r="G16" s="14">
        <f t="shared" si="0"/>
        <v>17.950000000000728</v>
      </c>
    </row>
    <row r="17" spans="1:7" ht="15.5" x14ac:dyDescent="0.35">
      <c r="A17" s="6" t="s">
        <v>12</v>
      </c>
      <c r="B17" s="7">
        <v>6205.2569999999996</v>
      </c>
      <c r="C17" s="7">
        <v>6163.0240000000003</v>
      </c>
      <c r="D17" s="3"/>
      <c r="E17" s="8">
        <v>0.69</v>
      </c>
      <c r="G17" s="14">
        <f t="shared" si="0"/>
        <v>42.232999999999265</v>
      </c>
    </row>
    <row r="18" spans="1:7" ht="15.5" x14ac:dyDescent="0.35">
      <c r="A18" s="6" t="s">
        <v>13</v>
      </c>
      <c r="B18" s="7">
        <v>2610.8090000000002</v>
      </c>
      <c r="C18" s="7">
        <v>2602.2289999999998</v>
      </c>
      <c r="D18" s="3"/>
      <c r="E18" s="8">
        <v>0.33</v>
      </c>
      <c r="G18" s="14">
        <f t="shared" si="0"/>
        <v>8.580000000000382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1914.16</v>
      </c>
      <c r="C20" s="7">
        <v>1907.81</v>
      </c>
      <c r="D20" s="2"/>
      <c r="E20" s="8">
        <v>0.33</v>
      </c>
      <c r="G20" s="14">
        <f t="shared" si="0"/>
        <v>6.3500000000001364</v>
      </c>
    </row>
    <row r="21" spans="1:7" ht="15.5" x14ac:dyDescent="0.35">
      <c r="A21" s="6" t="s">
        <v>15</v>
      </c>
      <c r="B21" s="7">
        <v>1891.88</v>
      </c>
      <c r="C21" s="7">
        <v>1887.64</v>
      </c>
      <c r="D21" s="2"/>
      <c r="E21" s="8">
        <v>0.22</v>
      </c>
      <c r="G21" s="14">
        <f t="shared" si="0"/>
        <v>4.2400000000000091</v>
      </c>
    </row>
    <row r="22" spans="1:7" ht="31" x14ac:dyDescent="0.35">
      <c r="A22" s="6" t="s">
        <v>16</v>
      </c>
      <c r="B22" s="7">
        <v>1012.77</v>
      </c>
      <c r="C22" s="7">
        <v>1005.03</v>
      </c>
      <c r="D22" s="2"/>
      <c r="E22" s="8">
        <v>0.77</v>
      </c>
      <c r="G22" s="14">
        <f t="shared" si="0"/>
        <v>7.7400000000000091</v>
      </c>
    </row>
    <row r="23" spans="1:7" ht="15.5" x14ac:dyDescent="0.35">
      <c r="A23" s="6" t="s">
        <v>17</v>
      </c>
      <c r="B23" s="7">
        <v>1899.07</v>
      </c>
      <c r="C23" s="7">
        <v>1892.441</v>
      </c>
      <c r="D23" s="3"/>
      <c r="E23" s="8">
        <v>0.35</v>
      </c>
      <c r="G23" s="14">
        <f t="shared" si="0"/>
        <v>6.6289999999999054</v>
      </c>
    </row>
    <row r="24" spans="1:7" ht="15.5" x14ac:dyDescent="0.35">
      <c r="A24" s="6" t="s">
        <v>18</v>
      </c>
      <c r="B24" s="9">
        <v>101.078</v>
      </c>
      <c r="C24" s="9">
        <v>101.102</v>
      </c>
      <c r="D24" s="3"/>
      <c r="E24" s="10">
        <v>-0.02</v>
      </c>
      <c r="G24" s="14">
        <f t="shared" si="0"/>
        <v>-2.4000000000000909E-2</v>
      </c>
    </row>
    <row r="25" spans="1:7" ht="15.5" x14ac:dyDescent="0.35">
      <c r="A25" s="6" t="s">
        <v>19</v>
      </c>
      <c r="B25" s="9">
        <v>99.801000000000002</v>
      </c>
      <c r="C25" s="9">
        <v>100.41800000000001</v>
      </c>
      <c r="D25" s="3"/>
      <c r="E25" s="10">
        <v>-0.61</v>
      </c>
      <c r="G25" s="14">
        <f t="shared" si="0"/>
        <v>-0.61700000000000443</v>
      </c>
    </row>
    <row r="26" spans="1:7" ht="15.5" x14ac:dyDescent="0.35">
      <c r="A26" s="6" t="s">
        <v>20</v>
      </c>
      <c r="B26" s="9">
        <v>99.91</v>
      </c>
      <c r="C26" s="9">
        <v>99.938000000000002</v>
      </c>
      <c r="D26" s="3"/>
      <c r="E26" s="10">
        <v>-0.03</v>
      </c>
      <c r="G26" s="14">
        <f t="shared" si="0"/>
        <v>-2.8000000000005798E-2</v>
      </c>
    </row>
    <row r="27" spans="1:7" x14ac:dyDescent="0.35">
      <c r="A27" s="11" t="s">
        <v>21</v>
      </c>
      <c r="B27" s="9">
        <v>0.91</v>
      </c>
      <c r="C27" s="9">
        <v>0.90500000000000003</v>
      </c>
      <c r="D27" s="3"/>
      <c r="E27" s="8">
        <v>0.55000000000000004</v>
      </c>
      <c r="G27" s="14">
        <f t="shared" si="0"/>
        <v>5.0000000000000044E-3</v>
      </c>
    </row>
    <row r="28" spans="1:7" x14ac:dyDescent="0.35">
      <c r="A28" s="11" t="s">
        <v>22</v>
      </c>
      <c r="B28" s="9">
        <v>1.0449999999999999</v>
      </c>
      <c r="C28" s="9">
        <v>1.04</v>
      </c>
      <c r="D28" s="3"/>
      <c r="E28" s="8">
        <v>0.48</v>
      </c>
      <c r="G28" s="14">
        <f t="shared" si="0"/>
        <v>4.9999999999998934E-3</v>
      </c>
    </row>
    <row r="29" spans="1:7" ht="15.5" x14ac:dyDescent="0.35">
      <c r="A29" s="6" t="s">
        <v>23</v>
      </c>
      <c r="B29" s="9">
        <v>101.586</v>
      </c>
      <c r="C29" s="9">
        <v>101.57</v>
      </c>
      <c r="D29" s="3"/>
      <c r="E29" s="8">
        <v>0.02</v>
      </c>
      <c r="G29" s="14">
        <f t="shared" si="0"/>
        <v>1.6000000000005343E-2</v>
      </c>
    </row>
    <row r="30" spans="1:7" ht="15.5" x14ac:dyDescent="0.35">
      <c r="A30" s="6" t="s">
        <v>24</v>
      </c>
      <c r="B30" s="7">
        <v>15410.73</v>
      </c>
      <c r="C30" s="7">
        <v>15419.49</v>
      </c>
      <c r="D30" s="3"/>
      <c r="E30" s="10">
        <v>-0.06</v>
      </c>
      <c r="G30" s="14">
        <f t="shared" si="0"/>
        <v>-8.7600000000002183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style="14" bestFit="1" customWidth="1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42881</v>
      </c>
      <c r="B2" s="3"/>
      <c r="C2" s="2"/>
      <c r="D2" s="3"/>
      <c r="E2" s="2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21080.28</v>
      </c>
      <c r="C7" s="7">
        <v>21082.95</v>
      </c>
      <c r="D7" s="3"/>
      <c r="E7" s="10">
        <v>-0.01</v>
      </c>
      <c r="G7" s="14">
        <f>B7-C7</f>
        <v>-2.6700000000018917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1727.23</v>
      </c>
      <c r="C9" s="7">
        <v>1731.31</v>
      </c>
      <c r="D9" s="3"/>
      <c r="E9" s="10">
        <v>-0.24</v>
      </c>
      <c r="G9" s="14">
        <f t="shared" ref="G9:G30" si="0">B9-C9</f>
        <v>-4.0799999999999272</v>
      </c>
    </row>
    <row r="10" spans="1:7" ht="15.5" x14ac:dyDescent="0.35">
      <c r="A10" s="6" t="s">
        <v>7</v>
      </c>
      <c r="B10" s="7">
        <v>2415.56</v>
      </c>
      <c r="C10" s="7">
        <v>2415.0100000000002</v>
      </c>
      <c r="D10" s="3"/>
      <c r="E10" s="8">
        <v>0.02</v>
      </c>
      <c r="G10" s="14">
        <f t="shared" si="0"/>
        <v>0.54999999999972715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1338.4369999999999</v>
      </c>
      <c r="C12" s="7">
        <v>1338.2170000000001</v>
      </c>
      <c r="D12" s="2"/>
      <c r="E12" s="8">
        <v>0.02</v>
      </c>
      <c r="G12" s="14">
        <f t="shared" si="0"/>
        <v>0.21999999999979991</v>
      </c>
    </row>
    <row r="13" spans="1:7" ht="15.5" x14ac:dyDescent="0.35">
      <c r="A13" s="6" t="s">
        <v>9</v>
      </c>
      <c r="B13" s="7">
        <v>1382.2339999999999</v>
      </c>
      <c r="C13" s="7">
        <v>1383.386</v>
      </c>
      <c r="D13" s="2"/>
      <c r="E13" s="10">
        <v>-0.08</v>
      </c>
      <c r="G13" s="14">
        <f t="shared" si="0"/>
        <v>-1.1520000000000437</v>
      </c>
    </row>
    <row r="14" spans="1:7" ht="15.5" x14ac:dyDescent="0.35">
      <c r="A14" s="6" t="s">
        <v>10</v>
      </c>
      <c r="B14" s="7">
        <v>1429.242</v>
      </c>
      <c r="C14" s="7">
        <v>1429.115</v>
      </c>
      <c r="D14" s="2"/>
      <c r="E14" s="8">
        <v>0.01</v>
      </c>
      <c r="G14" s="14">
        <f t="shared" si="0"/>
        <v>0.12699999999995271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11631.56</v>
      </c>
      <c r="C16" s="7">
        <v>11639.1</v>
      </c>
      <c r="D16" s="3"/>
      <c r="E16" s="10">
        <v>-0.06</v>
      </c>
      <c r="G16" s="14">
        <f t="shared" si="0"/>
        <v>-7.5400000000008731</v>
      </c>
    </row>
    <row r="17" spans="1:7" ht="15.5" x14ac:dyDescent="0.35">
      <c r="A17" s="6" t="s">
        <v>12</v>
      </c>
      <c r="B17" s="7">
        <v>6210.1940000000004</v>
      </c>
      <c r="C17" s="7">
        <v>6205.2569999999996</v>
      </c>
      <c r="D17" s="3"/>
      <c r="E17" s="8">
        <v>0.08</v>
      </c>
      <c r="G17" s="14">
        <f t="shared" si="0"/>
        <v>4.9370000000008076</v>
      </c>
    </row>
    <row r="18" spans="1:7" ht="15.5" x14ac:dyDescent="0.35">
      <c r="A18" s="6" t="s">
        <v>13</v>
      </c>
      <c r="B18" s="7">
        <v>2618.7130000000002</v>
      </c>
      <c r="C18" s="7">
        <v>2610.8090000000002</v>
      </c>
      <c r="D18" s="3"/>
      <c r="E18" s="8">
        <v>0.3</v>
      </c>
      <c r="G18" s="14">
        <f t="shared" si="0"/>
        <v>7.9039999999999964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1912.09</v>
      </c>
      <c r="C20" s="7">
        <v>1914.16</v>
      </c>
      <c r="D20" s="2"/>
      <c r="E20" s="10">
        <v>-0.11</v>
      </c>
      <c r="G20" s="14">
        <f t="shared" si="0"/>
        <v>-2.0700000000001637</v>
      </c>
    </row>
    <row r="21" spans="1:7" ht="15.5" x14ac:dyDescent="0.35">
      <c r="A21" s="6" t="s">
        <v>15</v>
      </c>
      <c r="B21" s="7">
        <v>1885.03</v>
      </c>
      <c r="C21" s="7">
        <v>1891.88</v>
      </c>
      <c r="D21" s="2"/>
      <c r="E21" s="10">
        <v>-0.36</v>
      </c>
      <c r="G21" s="14">
        <f t="shared" si="0"/>
        <v>-6.8500000000001364</v>
      </c>
    </row>
    <row r="22" spans="1:7" ht="31" x14ac:dyDescent="0.35">
      <c r="A22" s="6" t="s">
        <v>16</v>
      </c>
      <c r="B22" s="7">
        <v>1016.5</v>
      </c>
      <c r="C22" s="7">
        <v>1012.77</v>
      </c>
      <c r="D22" s="2"/>
      <c r="E22" s="8">
        <v>0.37</v>
      </c>
      <c r="G22" s="14">
        <f t="shared" si="0"/>
        <v>3.7300000000000182</v>
      </c>
    </row>
    <row r="23" spans="1:7" ht="15.5" x14ac:dyDescent="0.35">
      <c r="A23" s="6" t="s">
        <v>17</v>
      </c>
      <c r="B23" s="7">
        <v>1898.12</v>
      </c>
      <c r="C23" s="7">
        <v>1899.067</v>
      </c>
      <c r="D23" s="3"/>
      <c r="E23" s="10">
        <v>-0.05</v>
      </c>
      <c r="G23" s="14">
        <f t="shared" si="0"/>
        <v>-0.94700000000011642</v>
      </c>
    </row>
    <row r="24" spans="1:7" ht="15.5" x14ac:dyDescent="0.35">
      <c r="A24" s="6" t="s">
        <v>18</v>
      </c>
      <c r="B24" s="9">
        <v>101.133</v>
      </c>
      <c r="C24" s="9">
        <v>101.078</v>
      </c>
      <c r="D24" s="3"/>
      <c r="E24" s="8">
        <v>0.05</v>
      </c>
      <c r="G24" s="14">
        <f t="shared" si="0"/>
        <v>5.499999999999261E-2</v>
      </c>
    </row>
    <row r="25" spans="1:7" ht="15.5" x14ac:dyDescent="0.35">
      <c r="A25" s="6" t="s">
        <v>19</v>
      </c>
      <c r="B25" s="9">
        <v>99.808999999999997</v>
      </c>
      <c r="C25" s="9">
        <v>99.801000000000002</v>
      </c>
      <c r="D25" s="3"/>
      <c r="E25" s="8">
        <v>0.01</v>
      </c>
      <c r="G25" s="14">
        <f t="shared" si="0"/>
        <v>7.9999999999955662E-3</v>
      </c>
    </row>
    <row r="26" spans="1:7" ht="15.5" x14ac:dyDescent="0.35">
      <c r="A26" s="6" t="s">
        <v>20</v>
      </c>
      <c r="B26" s="9">
        <v>99.91</v>
      </c>
      <c r="C26" s="9">
        <v>99.91</v>
      </c>
      <c r="D26" s="3"/>
      <c r="E26" s="8">
        <v>0</v>
      </c>
      <c r="G26" s="14">
        <f t="shared" si="0"/>
        <v>0</v>
      </c>
    </row>
    <row r="27" spans="1:7" x14ac:dyDescent="0.35">
      <c r="A27" s="11" t="s">
        <v>21</v>
      </c>
      <c r="B27" s="9">
        <v>0.91</v>
      </c>
      <c r="C27" s="9">
        <v>0.91</v>
      </c>
      <c r="D27" s="3"/>
      <c r="E27" s="8">
        <v>0</v>
      </c>
      <c r="G27" s="14">
        <f t="shared" si="0"/>
        <v>0</v>
      </c>
    </row>
    <row r="28" spans="1:7" x14ac:dyDescent="0.35">
      <c r="A28" s="11" t="s">
        <v>22</v>
      </c>
      <c r="B28" s="9">
        <v>1.0449999999999999</v>
      </c>
      <c r="C28" s="9">
        <v>1.0449999999999999</v>
      </c>
      <c r="D28" s="3"/>
      <c r="E28" s="8">
        <v>0</v>
      </c>
      <c r="G28" s="14">
        <f t="shared" si="0"/>
        <v>0</v>
      </c>
    </row>
    <row r="29" spans="1:7" ht="15.5" x14ac:dyDescent="0.35">
      <c r="A29" s="6" t="s">
        <v>23</v>
      </c>
      <c r="B29" s="9">
        <v>101.68</v>
      </c>
      <c r="C29" s="9">
        <v>101.586</v>
      </c>
      <c r="D29" s="3"/>
      <c r="E29" s="8">
        <v>0.09</v>
      </c>
      <c r="G29" s="14">
        <f t="shared" si="0"/>
        <v>9.4000000000008299E-2</v>
      </c>
    </row>
    <row r="30" spans="1:7" ht="15.5" x14ac:dyDescent="0.35">
      <c r="A30" s="6" t="s">
        <v>24</v>
      </c>
      <c r="B30" s="7">
        <v>15416.93</v>
      </c>
      <c r="C30" s="7">
        <v>15410.73</v>
      </c>
      <c r="D30" s="3"/>
      <c r="E30" s="8">
        <v>0.04</v>
      </c>
      <c r="G30" s="14">
        <f t="shared" si="0"/>
        <v>6.2000000000007276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3.54296875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42885</v>
      </c>
      <c r="B2" s="3"/>
      <c r="C2" s="2"/>
      <c r="D2" s="3"/>
      <c r="E2" s="2"/>
      <c r="G2" s="14"/>
    </row>
    <row r="3" spans="1:7" x14ac:dyDescent="0.35">
      <c r="A3" s="2"/>
      <c r="B3" s="3"/>
      <c r="C3" s="2"/>
      <c r="D3" s="3"/>
      <c r="E3" s="2"/>
      <c r="G3" s="14">
        <v>1000000</v>
      </c>
    </row>
    <row r="4" spans="1:7" x14ac:dyDescent="0.35">
      <c r="A4" s="3"/>
      <c r="B4" s="3"/>
      <c r="C4" s="2"/>
      <c r="D4" s="3"/>
      <c r="E4" s="2"/>
      <c r="G4" s="14"/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21029.47</v>
      </c>
      <c r="C7" s="7">
        <v>21080.28</v>
      </c>
      <c r="D7" s="3"/>
      <c r="E7" s="10">
        <v>-0.24</v>
      </c>
      <c r="G7" s="14">
        <f>B7-C7</f>
        <v>-50.809999999997672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1721.1</v>
      </c>
      <c r="C9" s="7">
        <v>1727.23</v>
      </c>
      <c r="D9" s="3"/>
      <c r="E9" s="10">
        <v>-0.35</v>
      </c>
      <c r="G9" s="14">
        <f t="shared" ref="G9:G30" si="0">B9-C9</f>
        <v>-6.1300000000001091</v>
      </c>
    </row>
    <row r="10" spans="1:7" ht="15.5" x14ac:dyDescent="0.35">
      <c r="A10" s="6" t="s">
        <v>7</v>
      </c>
      <c r="B10" s="7">
        <v>2412.9</v>
      </c>
      <c r="C10" s="7">
        <v>2415.56</v>
      </c>
      <c r="D10" s="3"/>
      <c r="E10" s="10">
        <v>-0.11</v>
      </c>
      <c r="G10" s="14">
        <f t="shared" si="0"/>
        <v>-2.6599999999998545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1336.5239999999999</v>
      </c>
      <c r="C12" s="7">
        <v>1338.4369999999999</v>
      </c>
      <c r="D12" s="2"/>
      <c r="E12" s="10">
        <v>-0.14000000000000001</v>
      </c>
      <c r="G12" s="14">
        <f t="shared" si="0"/>
        <v>-1.9130000000000109</v>
      </c>
    </row>
    <row r="13" spans="1:7" ht="15.5" x14ac:dyDescent="0.35">
      <c r="A13" s="6" t="s">
        <v>9</v>
      </c>
      <c r="B13" s="7">
        <v>1371.258</v>
      </c>
      <c r="C13" s="7">
        <v>1382.2339999999999</v>
      </c>
      <c r="D13" s="2"/>
      <c r="E13" s="10">
        <v>-0.79</v>
      </c>
      <c r="G13" s="14">
        <f t="shared" si="0"/>
        <v>-10.975999999999885</v>
      </c>
    </row>
    <row r="14" spans="1:7" ht="15.5" x14ac:dyDescent="0.35">
      <c r="A14" s="6" t="s">
        <v>10</v>
      </c>
      <c r="B14" s="7">
        <v>1426.501</v>
      </c>
      <c r="C14" s="7">
        <v>1429.242</v>
      </c>
      <c r="D14" s="2"/>
      <c r="E14" s="10">
        <v>-0.19</v>
      </c>
      <c r="G14" s="14">
        <f t="shared" si="0"/>
        <v>-2.7409999999999854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11601.45</v>
      </c>
      <c r="C16" s="7">
        <v>11631.56</v>
      </c>
      <c r="D16" s="3"/>
      <c r="E16" s="10">
        <v>-0.26</v>
      </c>
      <c r="G16" s="14">
        <f t="shared" si="0"/>
        <v>-30.109999999998763</v>
      </c>
    </row>
    <row r="17" spans="1:7" ht="15.5" x14ac:dyDescent="0.35">
      <c r="A17" s="6" t="s">
        <v>12</v>
      </c>
      <c r="B17" s="7">
        <v>6203.1890000000003</v>
      </c>
      <c r="C17" s="7">
        <v>6210.1940000000004</v>
      </c>
      <c r="D17" s="3"/>
      <c r="E17" s="10">
        <v>-0.11</v>
      </c>
      <c r="G17" s="14">
        <f t="shared" si="0"/>
        <v>-7.0050000000001091</v>
      </c>
    </row>
    <row r="18" spans="1:7" ht="15.5" x14ac:dyDescent="0.35">
      <c r="A18" s="6" t="s">
        <v>13</v>
      </c>
      <c r="B18" s="7">
        <v>2603.8760000000002</v>
      </c>
      <c r="C18" s="7">
        <v>2618.7130000000002</v>
      </c>
      <c r="D18" s="3"/>
      <c r="E18" s="10">
        <v>-0.56999999999999995</v>
      </c>
      <c r="G18" s="14">
        <f t="shared" si="0"/>
        <v>-14.836999999999989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1909.9</v>
      </c>
      <c r="C20" s="7">
        <v>1912.09</v>
      </c>
      <c r="D20" s="2"/>
      <c r="E20" s="10">
        <v>-0.11</v>
      </c>
      <c r="G20" s="14">
        <f t="shared" si="0"/>
        <v>-2.1899999999998272</v>
      </c>
    </row>
    <row r="21" spans="1:7" ht="15.5" x14ac:dyDescent="0.35">
      <c r="A21" s="6" t="s">
        <v>15</v>
      </c>
      <c r="B21" s="7">
        <v>1883.32</v>
      </c>
      <c r="C21" s="7">
        <v>1885.03</v>
      </c>
      <c r="D21" s="2"/>
      <c r="E21" s="10">
        <v>-0.09</v>
      </c>
      <c r="G21" s="14">
        <f t="shared" si="0"/>
        <v>-1.7100000000000364</v>
      </c>
    </row>
    <row r="22" spans="1:7" ht="31" x14ac:dyDescent="0.35">
      <c r="A22" s="6" t="s">
        <v>16</v>
      </c>
      <c r="B22" s="7">
        <v>1011.77</v>
      </c>
      <c r="C22" s="7">
        <v>1016.5</v>
      </c>
      <c r="D22" s="2"/>
      <c r="E22" s="10">
        <v>-0.47</v>
      </c>
      <c r="G22" s="14">
        <f t="shared" si="0"/>
        <v>-4.7300000000000182</v>
      </c>
    </row>
    <row r="23" spans="1:7" ht="15.5" x14ac:dyDescent="0.35">
      <c r="A23" s="6" t="s">
        <v>17</v>
      </c>
      <c r="B23" s="7">
        <v>1893.31</v>
      </c>
      <c r="C23" s="7">
        <v>1898.117</v>
      </c>
      <c r="D23" s="3"/>
      <c r="E23" s="10">
        <v>-0.25</v>
      </c>
      <c r="G23" s="14">
        <f t="shared" si="0"/>
        <v>-4.8070000000000164</v>
      </c>
    </row>
    <row r="24" spans="1:7" ht="15.5" x14ac:dyDescent="0.35">
      <c r="A24" s="6" t="s">
        <v>18</v>
      </c>
      <c r="B24" s="2"/>
      <c r="C24" s="9">
        <v>101.133</v>
      </c>
      <c r="D24" s="3"/>
      <c r="E24" s="10">
        <v>-100</v>
      </c>
      <c r="G24" s="14">
        <f t="shared" si="0"/>
        <v>-101.133</v>
      </c>
    </row>
    <row r="25" spans="1:7" ht="15.5" x14ac:dyDescent="0.35">
      <c r="A25" s="6" t="s">
        <v>19</v>
      </c>
      <c r="B25" s="2"/>
      <c r="C25" s="9">
        <v>99.808999999999997</v>
      </c>
      <c r="D25" s="3"/>
      <c r="E25" s="10">
        <v>-100</v>
      </c>
      <c r="G25" s="14">
        <f t="shared" si="0"/>
        <v>-99.808999999999997</v>
      </c>
    </row>
    <row r="26" spans="1:7" ht="15.5" x14ac:dyDescent="0.35">
      <c r="A26" s="6" t="s">
        <v>20</v>
      </c>
      <c r="B26" s="2"/>
      <c r="C26" s="9">
        <v>99.91</v>
      </c>
      <c r="D26" s="3"/>
      <c r="E26" s="10">
        <v>-100</v>
      </c>
      <c r="G26" s="14">
        <f t="shared" si="0"/>
        <v>-99.91</v>
      </c>
    </row>
    <row r="27" spans="1:7" x14ac:dyDescent="0.35">
      <c r="A27" s="11" t="s">
        <v>21</v>
      </c>
      <c r="B27" s="9">
        <v>0.91500000000000004</v>
      </c>
      <c r="C27" s="9">
        <v>0.91</v>
      </c>
      <c r="D27" s="3"/>
      <c r="E27" s="8">
        <v>0.55000000000000004</v>
      </c>
      <c r="G27" s="14">
        <f t="shared" si="0"/>
        <v>5.0000000000000044E-3</v>
      </c>
    </row>
    <row r="28" spans="1:7" x14ac:dyDescent="0.35">
      <c r="A28" s="11" t="s">
        <v>22</v>
      </c>
      <c r="B28" s="9">
        <v>1.05</v>
      </c>
      <c r="C28" s="9">
        <v>1.0449999999999999</v>
      </c>
      <c r="D28" s="3"/>
      <c r="E28" s="8">
        <v>0.48</v>
      </c>
      <c r="G28" s="14">
        <f t="shared" si="0"/>
        <v>5.0000000000001155E-3</v>
      </c>
    </row>
    <row r="29" spans="1:7" ht="15.5" x14ac:dyDescent="0.35">
      <c r="A29" s="6" t="s">
        <v>23</v>
      </c>
      <c r="B29" s="2"/>
      <c r="C29" s="9">
        <v>101.68</v>
      </c>
      <c r="D29" s="3"/>
      <c r="E29" s="10">
        <v>-100</v>
      </c>
      <c r="G29" s="14">
        <f t="shared" si="0"/>
        <v>-101.68</v>
      </c>
    </row>
    <row r="30" spans="1:7" ht="15.5" x14ac:dyDescent="0.35">
      <c r="A30" s="6" t="s">
        <v>24</v>
      </c>
      <c r="B30" s="7">
        <v>15372.35</v>
      </c>
      <c r="C30" s="7">
        <v>15416.93</v>
      </c>
      <c r="D30" s="3"/>
      <c r="E30" s="10">
        <v>-0.28999999999999998</v>
      </c>
      <c r="G30" s="14">
        <f t="shared" si="0"/>
        <v>-44.579999999999927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style="14" bestFit="1" customWidth="1"/>
    <col min="3" max="3" width="10.7265625" style="14" bestFit="1" customWidth="1"/>
    <col min="5" max="5" width="10" bestFit="1" customWidth="1"/>
    <col min="7" max="7" width="13.54296875" bestFit="1" customWidth="1"/>
  </cols>
  <sheetData>
    <row r="1" spans="1:7" ht="18" x14ac:dyDescent="0.35">
      <c r="A1" s="1" t="s">
        <v>0</v>
      </c>
      <c r="B1" s="16"/>
      <c r="C1" s="17"/>
      <c r="D1" s="3"/>
      <c r="E1" s="2"/>
      <c r="G1" s="14"/>
    </row>
    <row r="2" spans="1:7" ht="15.5" x14ac:dyDescent="0.35">
      <c r="A2" s="4">
        <v>42886</v>
      </c>
      <c r="B2" s="16"/>
      <c r="C2" s="17"/>
      <c r="D2" s="3"/>
      <c r="E2" s="2"/>
      <c r="G2" s="14"/>
    </row>
    <row r="3" spans="1:7" x14ac:dyDescent="0.35">
      <c r="A3" t="s">
        <v>25</v>
      </c>
      <c r="B3" s="14">
        <v>9290.65</v>
      </c>
      <c r="C3" s="14">
        <v>9280.89</v>
      </c>
      <c r="D3" s="3"/>
      <c r="E3" s="20">
        <f>(B3-C3)/B3</f>
        <v>1.0505185320725911E-3</v>
      </c>
      <c r="G3" s="14">
        <f t="shared" ref="G3:G4" si="0">B3-C3</f>
        <v>9.7600000000002183</v>
      </c>
    </row>
    <row r="4" spans="1:7" x14ac:dyDescent="0.35">
      <c r="A4" t="s">
        <v>26</v>
      </c>
      <c r="B4" s="14">
        <v>2532.5</v>
      </c>
      <c r="C4" s="14">
        <v>2552.1</v>
      </c>
      <c r="D4" s="3"/>
      <c r="E4" s="20">
        <f>(B4-C4)/B4</f>
        <v>-7.7393879565646239E-3</v>
      </c>
      <c r="G4" s="14">
        <f t="shared" si="0"/>
        <v>-19.599999999999909</v>
      </c>
    </row>
    <row r="5" spans="1:7" x14ac:dyDescent="0.35">
      <c r="A5" s="5" t="s">
        <v>1</v>
      </c>
      <c r="B5" s="18" t="s">
        <v>2</v>
      </c>
      <c r="C5" s="18" t="s">
        <v>3</v>
      </c>
      <c r="D5" s="3"/>
      <c r="E5" s="5" t="s">
        <v>4</v>
      </c>
      <c r="G5" s="14"/>
    </row>
    <row r="6" spans="1:7" x14ac:dyDescent="0.35">
      <c r="A6" s="3"/>
      <c r="B6" s="16"/>
      <c r="C6" s="17"/>
      <c r="D6" s="3"/>
      <c r="E6" s="2"/>
      <c r="G6" s="14"/>
    </row>
    <row r="7" spans="1:7" ht="15.5" x14ac:dyDescent="0.35">
      <c r="A7" s="6" t="s">
        <v>5</v>
      </c>
      <c r="B7" s="19">
        <v>21008.65</v>
      </c>
      <c r="C7" s="19">
        <v>21029.47</v>
      </c>
      <c r="D7" s="3"/>
      <c r="E7" s="10">
        <v>-0.1</v>
      </c>
      <c r="G7" s="14">
        <f>B7-C7</f>
        <v>-20.819999999999709</v>
      </c>
    </row>
    <row r="8" spans="1:7" x14ac:dyDescent="0.35">
      <c r="A8" s="3"/>
      <c r="B8" s="17"/>
      <c r="C8" s="17"/>
      <c r="D8" s="3"/>
      <c r="E8" s="2"/>
      <c r="G8" s="14"/>
    </row>
    <row r="9" spans="1:7" ht="15.5" x14ac:dyDescent="0.35">
      <c r="A9" s="6" t="s">
        <v>6</v>
      </c>
      <c r="B9" s="19">
        <v>1721.65</v>
      </c>
      <c r="C9" s="19">
        <v>1721.1</v>
      </c>
      <c r="D9" s="3"/>
      <c r="E9" s="8">
        <v>0.03</v>
      </c>
      <c r="G9" s="14">
        <f t="shared" ref="G9:G30" si="1">B9-C9</f>
        <v>0.5500000000001819</v>
      </c>
    </row>
    <row r="10" spans="1:7" ht="15.5" x14ac:dyDescent="0.35">
      <c r="A10" s="6" t="s">
        <v>7</v>
      </c>
      <c r="B10" s="19">
        <v>2411.7199999999998</v>
      </c>
      <c r="C10" s="19">
        <v>2412.9</v>
      </c>
      <c r="D10" s="3"/>
      <c r="E10" s="10">
        <v>-0.05</v>
      </c>
      <c r="G10" s="14">
        <f t="shared" si="1"/>
        <v>-1.180000000000291</v>
      </c>
    </row>
    <row r="11" spans="1:7" x14ac:dyDescent="0.35">
      <c r="A11" s="3"/>
      <c r="B11" s="17"/>
      <c r="C11" s="17"/>
      <c r="D11" s="2"/>
      <c r="E11" s="2"/>
      <c r="G11" s="14"/>
    </row>
    <row r="12" spans="1:7" ht="15.5" x14ac:dyDescent="0.35">
      <c r="A12" s="6" t="s">
        <v>8</v>
      </c>
      <c r="B12" s="19">
        <v>1336.136</v>
      </c>
      <c r="C12" s="19">
        <v>1336.5239999999999</v>
      </c>
      <c r="D12" s="2"/>
      <c r="E12" s="10">
        <v>-0.03</v>
      </c>
      <c r="G12" s="14">
        <f t="shared" si="1"/>
        <v>-0.38799999999991996</v>
      </c>
    </row>
    <row r="13" spans="1:7" ht="15.5" x14ac:dyDescent="0.35">
      <c r="A13" s="6" t="s">
        <v>9</v>
      </c>
      <c r="B13" s="19">
        <v>1370.12</v>
      </c>
      <c r="C13" s="19">
        <v>1371.258</v>
      </c>
      <c r="D13" s="2"/>
      <c r="E13" s="10">
        <v>-0.08</v>
      </c>
      <c r="G13" s="14">
        <f t="shared" si="1"/>
        <v>-1.1380000000001473</v>
      </c>
    </row>
    <row r="14" spans="1:7" ht="15.5" x14ac:dyDescent="0.35">
      <c r="A14" s="6" t="s">
        <v>10</v>
      </c>
      <c r="B14" s="19">
        <v>1426.049</v>
      </c>
      <c r="C14" s="19">
        <v>1426.501</v>
      </c>
      <c r="D14" s="2"/>
      <c r="E14" s="10">
        <v>-0.03</v>
      </c>
      <c r="G14" s="14">
        <f t="shared" si="1"/>
        <v>-0.45199999999999818</v>
      </c>
    </row>
    <row r="15" spans="1:7" x14ac:dyDescent="0.35">
      <c r="A15" s="3"/>
      <c r="B15" s="17"/>
      <c r="C15" s="17"/>
      <c r="D15" s="2"/>
      <c r="E15" s="2"/>
      <c r="G15" s="14"/>
    </row>
    <row r="16" spans="1:7" ht="15.5" x14ac:dyDescent="0.35">
      <c r="A16" s="6" t="s">
        <v>11</v>
      </c>
      <c r="B16" s="19">
        <v>11597.81</v>
      </c>
      <c r="C16" s="19">
        <v>11601.45</v>
      </c>
      <c r="D16" s="3"/>
      <c r="E16" s="10">
        <v>-0.03</v>
      </c>
      <c r="G16" s="14">
        <f t="shared" si="1"/>
        <v>-3.6400000000012369</v>
      </c>
    </row>
    <row r="17" spans="1:7" ht="15.5" x14ac:dyDescent="0.35">
      <c r="A17" s="6" t="s">
        <v>12</v>
      </c>
      <c r="B17" s="19">
        <v>6198.5169999999998</v>
      </c>
      <c r="C17" s="19">
        <v>6203.1890000000003</v>
      </c>
      <c r="D17" s="3"/>
      <c r="E17" s="10">
        <v>-0.08</v>
      </c>
      <c r="G17" s="14">
        <f t="shared" si="1"/>
        <v>-4.6720000000004802</v>
      </c>
    </row>
    <row r="18" spans="1:7" ht="15.5" x14ac:dyDescent="0.35">
      <c r="A18" s="6" t="s">
        <v>13</v>
      </c>
      <c r="B18" s="19">
        <v>2610.2660000000001</v>
      </c>
      <c r="C18" s="19">
        <v>2603.8760000000002</v>
      </c>
      <c r="D18" s="3"/>
      <c r="E18" s="8">
        <v>0.25</v>
      </c>
      <c r="G18" s="14">
        <f t="shared" si="1"/>
        <v>6.3899999999998727</v>
      </c>
    </row>
    <row r="19" spans="1:7" x14ac:dyDescent="0.35">
      <c r="A19" s="3"/>
      <c r="B19" s="17"/>
      <c r="C19" s="17"/>
      <c r="D19" s="3"/>
      <c r="E19" s="2"/>
      <c r="G19" s="14"/>
    </row>
    <row r="20" spans="1:7" ht="15.5" x14ac:dyDescent="0.35">
      <c r="A20" s="6" t="s">
        <v>14</v>
      </c>
      <c r="B20" s="19">
        <v>1911.74</v>
      </c>
      <c r="C20" s="19">
        <v>1909.9</v>
      </c>
      <c r="D20" s="2"/>
      <c r="E20" s="8">
        <v>0.1</v>
      </c>
      <c r="G20" s="14">
        <f t="shared" si="1"/>
        <v>1.8399999999999181</v>
      </c>
    </row>
    <row r="21" spans="1:7" ht="15.5" x14ac:dyDescent="0.35">
      <c r="A21" s="6" t="s">
        <v>15</v>
      </c>
      <c r="B21" s="19">
        <v>1890.06</v>
      </c>
      <c r="C21" s="19">
        <v>1883.32</v>
      </c>
      <c r="D21" s="2"/>
      <c r="E21" s="8">
        <v>0.36</v>
      </c>
      <c r="G21" s="14">
        <f t="shared" si="1"/>
        <v>6.7400000000000091</v>
      </c>
    </row>
    <row r="22" spans="1:7" ht="31" x14ac:dyDescent="0.35">
      <c r="A22" s="6" t="s">
        <v>16</v>
      </c>
      <c r="B22" s="19">
        <v>1005.88</v>
      </c>
      <c r="C22" s="19">
        <v>1011.77</v>
      </c>
      <c r="D22" s="2"/>
      <c r="E22" s="10">
        <v>-0.57999999999999996</v>
      </c>
      <c r="G22" s="14">
        <f t="shared" si="1"/>
        <v>-5.8899999999999864</v>
      </c>
    </row>
    <row r="23" spans="1:7" ht="15.5" x14ac:dyDescent="0.35">
      <c r="A23" s="6" t="s">
        <v>17</v>
      </c>
      <c r="B23" s="19">
        <v>1894.87</v>
      </c>
      <c r="C23" s="19">
        <v>1893.3130000000001</v>
      </c>
      <c r="D23" s="3"/>
      <c r="E23" s="8">
        <v>0.08</v>
      </c>
      <c r="G23" s="14">
        <f t="shared" si="1"/>
        <v>1.556999999999789</v>
      </c>
    </row>
    <row r="24" spans="1:7" ht="15.5" x14ac:dyDescent="0.35">
      <c r="A24" s="6" t="s">
        <v>18</v>
      </c>
      <c r="B24" s="17"/>
      <c r="C24" s="17"/>
      <c r="D24" s="3"/>
      <c r="E24" s="8" t="e">
        <v>#DIV/0!</v>
      </c>
      <c r="G24" s="14">
        <f t="shared" si="1"/>
        <v>0</v>
      </c>
    </row>
    <row r="25" spans="1:7" ht="15.5" x14ac:dyDescent="0.35">
      <c r="A25" s="6" t="s">
        <v>19</v>
      </c>
      <c r="B25" s="17"/>
      <c r="C25" s="17"/>
      <c r="D25" s="3"/>
      <c r="E25" s="8" t="e">
        <v>#DIV/0!</v>
      </c>
      <c r="G25" s="14">
        <f t="shared" si="1"/>
        <v>0</v>
      </c>
    </row>
    <row r="26" spans="1:7" ht="15.5" x14ac:dyDescent="0.35">
      <c r="A26" s="6" t="s">
        <v>20</v>
      </c>
      <c r="B26" s="17"/>
      <c r="C26" s="17"/>
      <c r="D26" s="3"/>
      <c r="E26" s="8" t="e">
        <v>#DIV/0!</v>
      </c>
      <c r="G26" s="14">
        <f t="shared" si="1"/>
        <v>0</v>
      </c>
    </row>
    <row r="27" spans="1:7" x14ac:dyDescent="0.35">
      <c r="A27" s="11" t="s">
        <v>21</v>
      </c>
      <c r="B27" s="19">
        <v>0.96</v>
      </c>
      <c r="C27" s="19">
        <v>0.91500000000000004</v>
      </c>
      <c r="D27" s="3"/>
      <c r="E27" s="8">
        <v>4.92</v>
      </c>
      <c r="G27" s="14">
        <f t="shared" si="1"/>
        <v>4.4999999999999929E-2</v>
      </c>
    </row>
    <row r="28" spans="1:7" x14ac:dyDescent="0.35">
      <c r="A28" s="11" t="s">
        <v>22</v>
      </c>
      <c r="B28" s="19">
        <v>1.0549999999999999</v>
      </c>
      <c r="C28" s="19">
        <v>1.05</v>
      </c>
      <c r="D28" s="3"/>
      <c r="E28" s="8">
        <v>0.48</v>
      </c>
      <c r="G28" s="14">
        <f t="shared" si="1"/>
        <v>4.9999999999998934E-3</v>
      </c>
    </row>
    <row r="29" spans="1:7" ht="15.5" x14ac:dyDescent="0.35">
      <c r="A29" s="6" t="s">
        <v>23</v>
      </c>
      <c r="B29" s="17"/>
      <c r="C29" s="17"/>
      <c r="D29" s="3"/>
      <c r="E29" s="8" t="e">
        <v>#DIV/0!</v>
      </c>
      <c r="G29" s="14">
        <f t="shared" si="1"/>
        <v>0</v>
      </c>
    </row>
    <row r="30" spans="1:7" ht="15.5" x14ac:dyDescent="0.35">
      <c r="A30" s="6" t="s">
        <v>24</v>
      </c>
      <c r="B30" s="19">
        <v>15349.91</v>
      </c>
      <c r="C30" s="19">
        <v>15372.35</v>
      </c>
      <c r="D30" s="3"/>
      <c r="E30" s="10">
        <v>-0.15</v>
      </c>
      <c r="G30" s="14">
        <f t="shared" si="1"/>
        <v>-22.440000000000509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42887</v>
      </c>
      <c r="B2" s="3"/>
      <c r="C2" s="2"/>
      <c r="D2" s="3"/>
      <c r="E2" s="2"/>
      <c r="G2" s="14"/>
    </row>
    <row r="3" spans="1:7" x14ac:dyDescent="0.35">
      <c r="A3" t="s">
        <v>25</v>
      </c>
      <c r="B3" s="14">
        <v>9332.07</v>
      </c>
      <c r="C3" s="14">
        <f>'5.31.2017'!B3</f>
        <v>9290.65</v>
      </c>
      <c r="D3" s="3"/>
      <c r="E3" s="2"/>
      <c r="G3" s="14">
        <f t="shared" ref="G3:G4" si="0">B3-C3</f>
        <v>41.420000000000073</v>
      </c>
    </row>
    <row r="4" spans="1:7" x14ac:dyDescent="0.35">
      <c r="A4" t="s">
        <v>26</v>
      </c>
      <c r="B4" s="14">
        <v>2524.92</v>
      </c>
      <c r="C4" s="14">
        <f>'5.31.2017'!B4</f>
        <v>2532.5</v>
      </c>
      <c r="D4" s="3"/>
      <c r="E4" s="2"/>
      <c r="G4" s="14">
        <f t="shared" si="0"/>
        <v>-7.5799999999999272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21144.18</v>
      </c>
      <c r="C7" s="7">
        <v>21008.65</v>
      </c>
      <c r="D7" s="3"/>
      <c r="E7" s="8">
        <v>0.65</v>
      </c>
      <c r="G7" s="14">
        <f>B7-C7</f>
        <v>135.52999999999884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1747.69</v>
      </c>
      <c r="C9" s="7">
        <v>1721.65</v>
      </c>
      <c r="D9" s="3"/>
      <c r="E9" s="8">
        <v>1.51</v>
      </c>
      <c r="G9" s="14">
        <f t="shared" ref="G9:G30" si="1">B9-C9</f>
        <v>26.039999999999964</v>
      </c>
    </row>
    <row r="10" spans="1:7" ht="15.5" x14ac:dyDescent="0.35">
      <c r="A10" s="6" t="s">
        <v>7</v>
      </c>
      <c r="B10" s="7">
        <v>2429.94</v>
      </c>
      <c r="C10" s="7">
        <v>2411.7199999999998</v>
      </c>
      <c r="D10" s="3"/>
      <c r="E10" s="8">
        <v>0.76</v>
      </c>
      <c r="G10" s="14">
        <f t="shared" si="1"/>
        <v>18.220000000000255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1347.181</v>
      </c>
      <c r="C12" s="7">
        <v>1336.136</v>
      </c>
      <c r="D12" s="2"/>
      <c r="E12" s="8">
        <v>0.83</v>
      </c>
      <c r="G12" s="14">
        <f t="shared" si="1"/>
        <v>11.045000000000073</v>
      </c>
    </row>
    <row r="13" spans="1:7" ht="15.5" x14ac:dyDescent="0.35">
      <c r="A13" s="6" t="s">
        <v>9</v>
      </c>
      <c r="B13" s="7">
        <v>1396.0840000000001</v>
      </c>
      <c r="C13" s="7">
        <v>1370.12</v>
      </c>
      <c r="D13" s="2"/>
      <c r="E13" s="8">
        <v>1.9</v>
      </c>
      <c r="G13" s="14">
        <f t="shared" si="1"/>
        <v>25.964000000000169</v>
      </c>
    </row>
    <row r="14" spans="1:7" ht="15.5" x14ac:dyDescent="0.35">
      <c r="A14" s="6" t="s">
        <v>10</v>
      </c>
      <c r="B14" s="7">
        <v>1438.953</v>
      </c>
      <c r="C14" s="7">
        <v>1426.049</v>
      </c>
      <c r="D14" s="2"/>
      <c r="E14" s="8">
        <v>0.9</v>
      </c>
      <c r="G14" s="14">
        <f t="shared" si="1"/>
        <v>12.903999999999996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11699.48</v>
      </c>
      <c r="C16" s="7">
        <v>11597.81</v>
      </c>
      <c r="D16" s="3"/>
      <c r="E16" s="8">
        <v>0.88</v>
      </c>
      <c r="G16" s="14">
        <f t="shared" si="1"/>
        <v>101.67000000000007</v>
      </c>
    </row>
    <row r="17" spans="1:7" ht="15.5" x14ac:dyDescent="0.35">
      <c r="A17" s="6" t="s">
        <v>12</v>
      </c>
      <c r="B17" s="7">
        <v>6246.83</v>
      </c>
      <c r="C17" s="7">
        <v>6198.5169999999998</v>
      </c>
      <c r="D17" s="3"/>
      <c r="E17" s="8">
        <v>0.78</v>
      </c>
      <c r="G17" s="14">
        <f t="shared" si="1"/>
        <v>48.313000000000102</v>
      </c>
    </row>
    <row r="18" spans="1:7" ht="15.5" x14ac:dyDescent="0.35">
      <c r="A18" s="6" t="s">
        <v>13</v>
      </c>
      <c r="B18" s="7">
        <v>2620.4079999999999</v>
      </c>
      <c r="C18" s="7">
        <v>2610.2660000000001</v>
      </c>
      <c r="D18" s="3"/>
      <c r="E18" s="8">
        <v>0.39</v>
      </c>
      <c r="G18" s="14">
        <f t="shared" si="1"/>
        <v>10.141999999999825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1922.09</v>
      </c>
      <c r="C20" s="7">
        <v>1911.74</v>
      </c>
      <c r="D20" s="2"/>
      <c r="E20" s="8">
        <v>0.54</v>
      </c>
      <c r="G20" s="14">
        <f t="shared" si="1"/>
        <v>10.349999999999909</v>
      </c>
    </row>
    <row r="21" spans="1:7" ht="15.5" x14ac:dyDescent="0.35">
      <c r="A21" s="6" t="s">
        <v>15</v>
      </c>
      <c r="B21" s="7">
        <v>1892.58</v>
      </c>
      <c r="C21" s="7">
        <v>1890.06</v>
      </c>
      <c r="D21" s="2"/>
      <c r="E21" s="8">
        <v>0.13</v>
      </c>
      <c r="G21" s="14">
        <f t="shared" si="1"/>
        <v>2.5199999999999818</v>
      </c>
    </row>
    <row r="22" spans="1:7" ht="31" x14ac:dyDescent="0.35">
      <c r="A22" s="6" t="s">
        <v>16</v>
      </c>
      <c r="B22" s="7">
        <v>1008.48</v>
      </c>
      <c r="C22" s="7">
        <v>1005.88</v>
      </c>
      <c r="D22" s="2"/>
      <c r="E22" s="8">
        <v>0.26</v>
      </c>
      <c r="G22" s="14">
        <f t="shared" si="1"/>
        <v>2.6000000000000227</v>
      </c>
    </row>
    <row r="23" spans="1:7" ht="15.5" x14ac:dyDescent="0.35">
      <c r="A23" s="6" t="s">
        <v>17</v>
      </c>
      <c r="B23" s="7">
        <v>1917.61</v>
      </c>
      <c r="C23" s="7">
        <v>1894.865</v>
      </c>
      <c r="D23" s="3"/>
      <c r="E23" s="8">
        <v>1.2</v>
      </c>
      <c r="G23" s="14">
        <f t="shared" si="1"/>
        <v>22.744999999999891</v>
      </c>
    </row>
    <row r="24" spans="1:7" ht="15.5" x14ac:dyDescent="0.35">
      <c r="A24" s="6" t="s">
        <v>18</v>
      </c>
      <c r="B24" s="9">
        <v>101.438</v>
      </c>
      <c r="C24" s="2"/>
      <c r="D24" s="3"/>
      <c r="E24" s="8" t="e">
        <v>#DIV/0!</v>
      </c>
      <c r="G24" s="14">
        <f t="shared" si="1"/>
        <v>101.438</v>
      </c>
    </row>
    <row r="25" spans="1:7" ht="15.5" x14ac:dyDescent="0.35">
      <c r="A25" s="6" t="s">
        <v>19</v>
      </c>
      <c r="B25" s="9">
        <v>99.944999999999993</v>
      </c>
      <c r="C25" s="2"/>
      <c r="D25" s="3"/>
      <c r="E25" s="8" t="e">
        <v>#DIV/0!</v>
      </c>
      <c r="G25" s="14">
        <f t="shared" si="1"/>
        <v>99.944999999999993</v>
      </c>
    </row>
    <row r="26" spans="1:7" ht="15.5" x14ac:dyDescent="0.35">
      <c r="A26" s="6" t="s">
        <v>20</v>
      </c>
      <c r="B26" s="9">
        <v>99.914000000000001</v>
      </c>
      <c r="C26" s="2"/>
      <c r="D26" s="3"/>
      <c r="E26" s="8" t="e">
        <v>#DIV/0!</v>
      </c>
      <c r="G26" s="14">
        <f t="shared" si="1"/>
        <v>99.914000000000001</v>
      </c>
    </row>
    <row r="27" spans="1:7" x14ac:dyDescent="0.35">
      <c r="A27" s="11" t="s">
        <v>21</v>
      </c>
      <c r="B27" s="9">
        <v>0.95499999999999996</v>
      </c>
      <c r="C27" s="9">
        <v>0.96</v>
      </c>
      <c r="D27" s="3"/>
      <c r="E27" s="10">
        <v>-0.52</v>
      </c>
      <c r="G27" s="14">
        <f t="shared" si="1"/>
        <v>-5.0000000000000044E-3</v>
      </c>
    </row>
    <row r="28" spans="1:7" x14ac:dyDescent="0.35">
      <c r="A28" s="11" t="s">
        <v>22</v>
      </c>
      <c r="B28" s="9">
        <v>1.0449999999999999</v>
      </c>
      <c r="C28" s="9">
        <v>1.0549999999999999</v>
      </c>
      <c r="D28" s="3"/>
      <c r="E28" s="10">
        <v>-0.95</v>
      </c>
      <c r="G28" s="14">
        <f t="shared" si="1"/>
        <v>-1.0000000000000009E-2</v>
      </c>
    </row>
    <row r="29" spans="1:7" ht="15.5" x14ac:dyDescent="0.35">
      <c r="A29" s="6" t="s">
        <v>23</v>
      </c>
      <c r="B29" s="9">
        <v>102.65600000000001</v>
      </c>
      <c r="C29" s="2"/>
      <c r="D29" s="3"/>
      <c r="E29" s="8" t="e">
        <v>#DIV/0!</v>
      </c>
      <c r="G29" s="14">
        <f t="shared" si="1"/>
        <v>102.65600000000001</v>
      </c>
    </row>
    <row r="30" spans="1:7" ht="15.5" x14ac:dyDescent="0.35">
      <c r="A30" s="6" t="s">
        <v>24</v>
      </c>
      <c r="B30" s="7">
        <v>15469.91</v>
      </c>
      <c r="C30" s="7">
        <v>15349.91</v>
      </c>
      <c r="D30" s="3"/>
      <c r="E30" s="8">
        <v>0.78</v>
      </c>
      <c r="G30" s="14">
        <f t="shared" si="1"/>
        <v>120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9.1796875" style="14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42888</v>
      </c>
      <c r="B2" s="3"/>
      <c r="C2" s="2"/>
      <c r="D2" s="3"/>
      <c r="E2" s="2"/>
    </row>
    <row r="3" spans="1:7" ht="15.5" x14ac:dyDescent="0.35">
      <c r="A3" s="6" t="s">
        <v>25</v>
      </c>
      <c r="B3" s="7">
        <v>9416.64</v>
      </c>
      <c r="C3" s="7">
        <f>'6.01.2017'!B3</f>
        <v>9332.07</v>
      </c>
      <c r="D3" s="3"/>
      <c r="E3" s="21">
        <f>G3/B3</f>
        <v>8.9809103884187693E-3</v>
      </c>
      <c r="G3" s="14">
        <f t="shared" ref="G3:G4" si="0">B3-C3</f>
        <v>84.569999999999709</v>
      </c>
    </row>
    <row r="4" spans="1:7" ht="15.5" x14ac:dyDescent="0.35">
      <c r="A4" s="6" t="s">
        <v>26</v>
      </c>
      <c r="B4" s="7">
        <v>2543.85</v>
      </c>
      <c r="C4" s="7">
        <f>'6.01.2017'!B4</f>
        <v>2524.92</v>
      </c>
      <c r="D4" s="3"/>
      <c r="E4" s="21">
        <f>G4/B4</f>
        <v>7.4414765021521851E-3</v>
      </c>
      <c r="G4" s="14">
        <f t="shared" si="0"/>
        <v>18.929999999999836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21206.29</v>
      </c>
      <c r="C7" s="7">
        <v>21144.18</v>
      </c>
      <c r="D7" s="3"/>
      <c r="E7" s="8">
        <v>0.28999999999999998</v>
      </c>
      <c r="G7" s="14">
        <f>B7-C7</f>
        <v>62.110000000000582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1751.09</v>
      </c>
      <c r="C9" s="7">
        <v>1747.69</v>
      </c>
      <c r="D9" s="3"/>
      <c r="E9" s="8">
        <v>0.19</v>
      </c>
      <c r="G9" s="14">
        <f t="shared" ref="G9:G30" si="1">B9-C9</f>
        <v>3.3999999999998636</v>
      </c>
    </row>
    <row r="10" spans="1:7" ht="15.5" x14ac:dyDescent="0.35">
      <c r="A10" s="6" t="s">
        <v>7</v>
      </c>
      <c r="B10" s="7">
        <v>2438.4</v>
      </c>
      <c r="C10" s="7">
        <v>2429.94</v>
      </c>
      <c r="D10" s="3"/>
      <c r="E10" s="8">
        <v>0.35</v>
      </c>
      <c r="G10" s="14">
        <f t="shared" si="1"/>
        <v>8.4600000000000364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1351.7180000000001</v>
      </c>
      <c r="C12" s="7">
        <v>1347.181</v>
      </c>
      <c r="D12" s="2"/>
      <c r="E12" s="8">
        <v>0.34</v>
      </c>
      <c r="G12" s="14">
        <f t="shared" si="1"/>
        <v>4.5370000000000346</v>
      </c>
    </row>
    <row r="13" spans="1:7" ht="15.5" x14ac:dyDescent="0.35">
      <c r="A13" s="6" t="s">
        <v>9</v>
      </c>
      <c r="B13" s="7">
        <v>1405.2550000000001</v>
      </c>
      <c r="C13" s="7">
        <v>1396.0840000000001</v>
      </c>
      <c r="D13" s="2"/>
      <c r="E13" s="8">
        <v>0.66</v>
      </c>
      <c r="G13" s="14">
        <f t="shared" si="1"/>
        <v>9.1710000000000491</v>
      </c>
    </row>
    <row r="14" spans="1:7" ht="15.5" x14ac:dyDescent="0.35">
      <c r="A14" s="6" t="s">
        <v>10</v>
      </c>
      <c r="B14" s="7">
        <v>1444.107</v>
      </c>
      <c r="C14" s="7">
        <v>1438.953</v>
      </c>
      <c r="D14" s="2"/>
      <c r="E14" s="8">
        <v>0.36</v>
      </c>
      <c r="G14" s="14">
        <f t="shared" si="1"/>
        <v>5.1539999999999964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11717.68</v>
      </c>
      <c r="C16" s="7">
        <v>11699.48</v>
      </c>
      <c r="D16" s="3"/>
      <c r="E16" s="8">
        <v>0.16</v>
      </c>
      <c r="G16" s="14">
        <f t="shared" si="1"/>
        <v>18.200000000000728</v>
      </c>
    </row>
    <row r="17" spans="1:7" ht="15.5" x14ac:dyDescent="0.35">
      <c r="A17" s="6" t="s">
        <v>12</v>
      </c>
      <c r="B17" s="7">
        <v>6305.7960000000003</v>
      </c>
      <c r="C17" s="7">
        <v>6246.83</v>
      </c>
      <c r="D17" s="3"/>
      <c r="E17" s="8">
        <v>0.94</v>
      </c>
      <c r="G17" s="14">
        <f t="shared" si="1"/>
        <v>58.966000000000349</v>
      </c>
    </row>
    <row r="18" spans="1:7" ht="15.5" x14ac:dyDescent="0.35">
      <c r="A18" s="6" t="s">
        <v>13</v>
      </c>
      <c r="B18" s="7">
        <v>2635.402</v>
      </c>
      <c r="C18" s="7">
        <v>2620.4079999999999</v>
      </c>
      <c r="D18" s="3"/>
      <c r="E18" s="8">
        <v>0.56999999999999995</v>
      </c>
      <c r="G18" s="14">
        <f t="shared" si="1"/>
        <v>14.994000000000142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1935.21</v>
      </c>
      <c r="C20" s="7">
        <v>1922.09</v>
      </c>
      <c r="D20" s="2"/>
      <c r="E20" s="8">
        <v>0.68</v>
      </c>
      <c r="G20" s="14">
        <f t="shared" si="1"/>
        <v>13.120000000000118</v>
      </c>
    </row>
    <row r="21" spans="1:7" ht="15.5" x14ac:dyDescent="0.35">
      <c r="A21" s="6" t="s">
        <v>15</v>
      </c>
      <c r="B21" s="7">
        <v>1916.37</v>
      </c>
      <c r="C21" s="7">
        <v>1892.58</v>
      </c>
      <c r="D21" s="2"/>
      <c r="E21" s="8">
        <v>1.26</v>
      </c>
      <c r="G21" s="14">
        <f t="shared" si="1"/>
        <v>23.789999999999964</v>
      </c>
    </row>
    <row r="22" spans="1:7" ht="31" x14ac:dyDescent="0.35">
      <c r="A22" s="6" t="s">
        <v>16</v>
      </c>
      <c r="B22" s="7">
        <v>1015.08</v>
      </c>
      <c r="C22" s="7">
        <v>1008.48</v>
      </c>
      <c r="D22" s="2"/>
      <c r="E22" s="8">
        <v>0.65</v>
      </c>
      <c r="G22" s="14">
        <f t="shared" si="1"/>
        <v>6.6000000000000227</v>
      </c>
    </row>
    <row r="23" spans="1:7" ht="15.5" x14ac:dyDescent="0.35">
      <c r="A23" s="6" t="s">
        <v>17</v>
      </c>
      <c r="B23" s="7">
        <v>1920.08</v>
      </c>
      <c r="C23" s="7">
        <v>1917.614</v>
      </c>
      <c r="D23" s="3"/>
      <c r="E23" s="8">
        <v>0.13</v>
      </c>
      <c r="G23" s="14">
        <f t="shared" si="1"/>
        <v>2.4659999999998945</v>
      </c>
    </row>
    <row r="24" spans="1:7" ht="15.5" x14ac:dyDescent="0.35">
      <c r="A24" s="6" t="s">
        <v>18</v>
      </c>
      <c r="B24" s="9">
        <v>101.98399999999999</v>
      </c>
      <c r="C24" s="9">
        <v>101.438</v>
      </c>
      <c r="D24" s="3"/>
      <c r="E24" s="8">
        <v>0.54</v>
      </c>
      <c r="G24" s="14">
        <f t="shared" si="1"/>
        <v>0.54599999999999227</v>
      </c>
    </row>
    <row r="25" spans="1:7" ht="15.5" x14ac:dyDescent="0.35">
      <c r="A25" s="6" t="s">
        <v>19</v>
      </c>
      <c r="B25" s="9">
        <v>100.172</v>
      </c>
      <c r="C25" s="9">
        <v>99.944999999999993</v>
      </c>
      <c r="D25" s="3"/>
      <c r="E25" s="8">
        <v>0.23</v>
      </c>
      <c r="G25" s="14">
        <f t="shared" si="1"/>
        <v>0.22700000000000387</v>
      </c>
    </row>
    <row r="26" spans="1:7" ht="15.5" x14ac:dyDescent="0.35">
      <c r="A26" s="6" t="s">
        <v>20</v>
      </c>
      <c r="B26" s="9">
        <v>99.938000000000002</v>
      </c>
      <c r="C26" s="9">
        <v>99.914000000000001</v>
      </c>
      <c r="D26" s="3"/>
      <c r="E26" s="8">
        <v>0.02</v>
      </c>
      <c r="G26" s="14">
        <f t="shared" si="1"/>
        <v>2.4000000000000909E-2</v>
      </c>
    </row>
    <row r="27" spans="1:7" x14ac:dyDescent="0.35">
      <c r="A27" s="11" t="s">
        <v>21</v>
      </c>
      <c r="B27" s="9">
        <v>0.95</v>
      </c>
      <c r="C27" s="9">
        <v>0.95499999999999996</v>
      </c>
      <c r="D27" s="3"/>
      <c r="E27" s="10">
        <v>-0.52</v>
      </c>
      <c r="G27" s="14">
        <f t="shared" si="1"/>
        <v>-5.0000000000000044E-3</v>
      </c>
    </row>
    <row r="28" spans="1:7" x14ac:dyDescent="0.35">
      <c r="A28" s="11" t="s">
        <v>22</v>
      </c>
      <c r="B28" s="9">
        <v>1.0349999999999999</v>
      </c>
      <c r="C28" s="9">
        <v>1.0449999999999999</v>
      </c>
      <c r="D28" s="3"/>
      <c r="E28" s="10">
        <v>-0.96</v>
      </c>
      <c r="G28" s="14">
        <f t="shared" si="1"/>
        <v>-1.0000000000000009E-2</v>
      </c>
    </row>
    <row r="29" spans="1:7" ht="15.5" x14ac:dyDescent="0.35">
      <c r="A29" s="6" t="s">
        <v>23</v>
      </c>
      <c r="B29" s="9">
        <v>103.953</v>
      </c>
      <c r="C29" s="9">
        <v>102.65600000000001</v>
      </c>
      <c r="D29" s="3"/>
      <c r="E29" s="8">
        <v>1.26</v>
      </c>
      <c r="G29" s="14">
        <f t="shared" si="1"/>
        <v>1.296999999999997</v>
      </c>
    </row>
    <row r="30" spans="1:7" ht="15.5" x14ac:dyDescent="0.35">
      <c r="A30" s="6" t="s">
        <v>24</v>
      </c>
      <c r="B30" s="7">
        <v>15442.75</v>
      </c>
      <c r="C30" s="7">
        <v>15469.91</v>
      </c>
      <c r="D30" s="3"/>
      <c r="E30" s="10">
        <v>-0.18</v>
      </c>
      <c r="G30" s="14">
        <f t="shared" si="1"/>
        <v>-27.159999999999854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42891</v>
      </c>
      <c r="B2" s="3"/>
      <c r="C2" s="2"/>
      <c r="D2" s="3"/>
      <c r="E2" s="2"/>
      <c r="G2" s="14"/>
    </row>
    <row r="3" spans="1:7" ht="15.5" x14ac:dyDescent="0.35">
      <c r="A3" s="6" t="s">
        <v>25</v>
      </c>
      <c r="B3">
        <v>9390.89</v>
      </c>
      <c r="C3" s="7">
        <v>9416.64</v>
      </c>
      <c r="D3" s="3"/>
      <c r="E3" s="22">
        <f>G3/C3</f>
        <v>-2.7345210181126179E-3</v>
      </c>
      <c r="G3" s="14">
        <f t="shared" ref="G3:G4" si="0">B3-C3</f>
        <v>-25.75</v>
      </c>
    </row>
    <row r="4" spans="1:7" ht="15.5" x14ac:dyDescent="0.35">
      <c r="A4" s="6" t="s">
        <v>26</v>
      </c>
      <c r="B4">
        <v>2539.3000000000002</v>
      </c>
      <c r="C4" s="7">
        <v>2543.0100000000002</v>
      </c>
      <c r="D4" s="3"/>
      <c r="E4" s="22">
        <f>G4/C4</f>
        <v>-1.4589010660595264E-3</v>
      </c>
      <c r="G4" s="14">
        <f t="shared" si="0"/>
        <v>-3.7100000000000364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21184.04</v>
      </c>
      <c r="C7" s="7">
        <v>21206.29</v>
      </c>
      <c r="D7" s="3"/>
      <c r="E7" s="10">
        <v>-0.1</v>
      </c>
      <c r="G7" s="14">
        <f>B7-C7</f>
        <v>-22.25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1743.61</v>
      </c>
      <c r="C9" s="7">
        <v>1751.09</v>
      </c>
      <c r="D9" s="3"/>
      <c r="E9" s="10">
        <v>-0.43</v>
      </c>
      <c r="G9" s="14">
        <f t="shared" ref="G9:G30" si="1">B9-C9</f>
        <v>-7.4800000000000182</v>
      </c>
    </row>
    <row r="10" spans="1:7" ht="15.5" x14ac:dyDescent="0.35">
      <c r="A10" s="6" t="s">
        <v>7</v>
      </c>
      <c r="B10" s="7">
        <v>2436.2199999999998</v>
      </c>
      <c r="C10" s="7">
        <v>2438.4</v>
      </c>
      <c r="D10" s="3"/>
      <c r="E10" s="10">
        <v>-0.09</v>
      </c>
      <c r="G10" s="14">
        <f t="shared" si="1"/>
        <v>-2.180000000000291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1350.057</v>
      </c>
      <c r="C12" s="7">
        <v>1351.7180000000001</v>
      </c>
      <c r="D12" s="2"/>
      <c r="E12" s="10">
        <v>-0.12</v>
      </c>
      <c r="G12" s="14">
        <f t="shared" si="1"/>
        <v>-1.6610000000000582</v>
      </c>
    </row>
    <row r="13" spans="1:7" ht="15.5" x14ac:dyDescent="0.35">
      <c r="A13" s="6" t="s">
        <v>9</v>
      </c>
      <c r="B13" s="7">
        <v>1396.4549999999999</v>
      </c>
      <c r="C13" s="7">
        <v>1405.2550000000001</v>
      </c>
      <c r="D13" s="2"/>
      <c r="E13" s="10">
        <v>-0.63</v>
      </c>
      <c r="G13" s="14">
        <f t="shared" si="1"/>
        <v>-8.8000000000001819</v>
      </c>
    </row>
    <row r="14" spans="1:7" ht="15.5" x14ac:dyDescent="0.35">
      <c r="A14" s="6" t="s">
        <v>10</v>
      </c>
      <c r="B14" s="7">
        <v>1441.83</v>
      </c>
      <c r="C14" s="7">
        <v>1444.107</v>
      </c>
      <c r="D14" s="2"/>
      <c r="E14" s="10">
        <v>-0.16</v>
      </c>
      <c r="G14" s="14">
        <f t="shared" si="1"/>
        <v>-2.2770000000000437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11693.81</v>
      </c>
      <c r="C16" s="7">
        <v>11717.68</v>
      </c>
      <c r="D16" s="3"/>
      <c r="E16" s="10">
        <v>-0.2</v>
      </c>
      <c r="G16" s="14">
        <f t="shared" si="1"/>
        <v>-23.8700000000008</v>
      </c>
    </row>
    <row r="17" spans="1:7" ht="15.5" x14ac:dyDescent="0.35">
      <c r="A17" s="6" t="s">
        <v>12</v>
      </c>
      <c r="B17" s="7">
        <v>6295.6840000000002</v>
      </c>
      <c r="C17" s="7">
        <v>6305.7960000000003</v>
      </c>
      <c r="D17" s="3"/>
      <c r="E17" s="10">
        <v>-0.16</v>
      </c>
      <c r="G17" s="14">
        <f t="shared" si="1"/>
        <v>-10.11200000000008</v>
      </c>
    </row>
    <row r="18" spans="1:7" ht="15.5" x14ac:dyDescent="0.35">
      <c r="A18" s="6" t="s">
        <v>13</v>
      </c>
      <c r="B18" s="7">
        <v>2632.9839999999999</v>
      </c>
      <c r="C18" s="7">
        <v>2635.402</v>
      </c>
      <c r="D18" s="3"/>
      <c r="E18" s="10">
        <v>-0.09</v>
      </c>
      <c r="G18" s="14">
        <f t="shared" si="1"/>
        <v>-2.4180000000001201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1931.57</v>
      </c>
      <c r="C20" s="7">
        <v>1935.21</v>
      </c>
      <c r="D20" s="2"/>
      <c r="E20" s="10">
        <v>-0.19</v>
      </c>
      <c r="G20" s="14">
        <f t="shared" si="1"/>
        <v>-3.6400000000001</v>
      </c>
    </row>
    <row r="21" spans="1:7" ht="15.5" x14ac:dyDescent="0.35">
      <c r="A21" s="6" t="s">
        <v>15</v>
      </c>
      <c r="B21" s="7">
        <v>1910.75</v>
      </c>
      <c r="C21" s="7">
        <v>1916.37</v>
      </c>
      <c r="D21" s="2"/>
      <c r="E21" s="10">
        <v>-0.28999999999999998</v>
      </c>
      <c r="G21" s="14">
        <f t="shared" si="1"/>
        <v>-5.6199999999998909</v>
      </c>
    </row>
    <row r="22" spans="1:7" ht="31" x14ac:dyDescent="0.35">
      <c r="A22" s="6" t="s">
        <v>16</v>
      </c>
      <c r="B22" s="7">
        <v>1017.45</v>
      </c>
      <c r="C22" s="7">
        <v>1015.08</v>
      </c>
      <c r="D22" s="2"/>
      <c r="E22" s="8">
        <v>0.23</v>
      </c>
      <c r="G22" s="14">
        <f t="shared" si="1"/>
        <v>2.3700000000000045</v>
      </c>
    </row>
    <row r="23" spans="1:7" ht="15.5" x14ac:dyDescent="0.35">
      <c r="A23" s="6" t="s">
        <v>17</v>
      </c>
      <c r="B23" s="7">
        <v>1914.03</v>
      </c>
      <c r="C23" s="7">
        <v>1920.0809999999999</v>
      </c>
      <c r="D23" s="3"/>
      <c r="E23" s="10">
        <v>-0.32</v>
      </c>
      <c r="G23" s="14">
        <f t="shared" si="1"/>
        <v>-6.0509999999999309</v>
      </c>
    </row>
    <row r="24" spans="1:7" ht="15.5" x14ac:dyDescent="0.35">
      <c r="A24" s="6" t="s">
        <v>18</v>
      </c>
      <c r="B24" s="9">
        <v>101.73399999999999</v>
      </c>
      <c r="C24" s="9">
        <v>101.98399999999999</v>
      </c>
      <c r="D24" s="3"/>
      <c r="E24" s="10">
        <v>-0.25</v>
      </c>
      <c r="G24" s="14">
        <f t="shared" si="1"/>
        <v>-0.25</v>
      </c>
    </row>
    <row r="25" spans="1:7" ht="15.5" x14ac:dyDescent="0.35">
      <c r="A25" s="6" t="s">
        <v>19</v>
      </c>
      <c r="B25" s="9">
        <v>100.047</v>
      </c>
      <c r="C25" s="9">
        <v>100.172</v>
      </c>
      <c r="D25" s="3"/>
      <c r="E25" s="10">
        <v>-0.12</v>
      </c>
      <c r="G25" s="14">
        <f t="shared" si="1"/>
        <v>-0.125</v>
      </c>
    </row>
    <row r="26" spans="1:7" ht="15.5" x14ac:dyDescent="0.35">
      <c r="A26" s="6" t="s">
        <v>20</v>
      </c>
      <c r="B26" s="9">
        <v>99.897999999999996</v>
      </c>
      <c r="C26" s="9">
        <v>99.938000000000002</v>
      </c>
      <c r="D26" s="3"/>
      <c r="E26" s="10">
        <v>-0.04</v>
      </c>
      <c r="G26" s="14">
        <f t="shared" si="1"/>
        <v>-4.0000000000006253E-2</v>
      </c>
    </row>
    <row r="27" spans="1:7" x14ac:dyDescent="0.35">
      <c r="A27" s="11" t="s">
        <v>21</v>
      </c>
      <c r="B27" s="9">
        <v>0.95</v>
      </c>
      <c r="C27" s="9">
        <v>0.95</v>
      </c>
      <c r="D27" s="3"/>
      <c r="E27" s="8">
        <v>0</v>
      </c>
      <c r="G27" s="14">
        <f t="shared" si="1"/>
        <v>0</v>
      </c>
    </row>
    <row r="28" spans="1:7" x14ac:dyDescent="0.35">
      <c r="A28" s="11" t="s">
        <v>22</v>
      </c>
      <c r="B28" s="9">
        <v>1.04</v>
      </c>
      <c r="C28" s="9">
        <v>1.0349999999999999</v>
      </c>
      <c r="D28" s="3"/>
      <c r="E28" s="8">
        <v>0.48</v>
      </c>
      <c r="G28" s="14">
        <f t="shared" si="1"/>
        <v>5.0000000000001155E-3</v>
      </c>
    </row>
    <row r="29" spans="1:7" ht="15.5" x14ac:dyDescent="0.35">
      <c r="A29" s="6" t="s">
        <v>23</v>
      </c>
      <c r="B29" s="9">
        <v>103.25</v>
      </c>
      <c r="C29" s="9">
        <v>103.953</v>
      </c>
      <c r="D29" s="3"/>
      <c r="E29" s="10">
        <v>-0.68</v>
      </c>
      <c r="G29" s="14">
        <f t="shared" si="1"/>
        <v>-0.70300000000000296</v>
      </c>
    </row>
    <row r="30" spans="1:7" ht="15.5" x14ac:dyDescent="0.35">
      <c r="A30" s="6" t="s">
        <v>24</v>
      </c>
      <c r="B30" s="7">
        <v>15409.78</v>
      </c>
      <c r="C30" s="7">
        <v>15442.75</v>
      </c>
      <c r="D30" s="3"/>
      <c r="E30" s="10">
        <v>-0.21</v>
      </c>
      <c r="G30" s="14">
        <f t="shared" si="1"/>
        <v>-32.969999999999345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42892</v>
      </c>
      <c r="B2" s="3"/>
      <c r="C2" s="2"/>
      <c r="D2" s="3"/>
      <c r="E2" s="2"/>
      <c r="G2" s="14"/>
    </row>
    <row r="3" spans="1:7" ht="15.5" x14ac:dyDescent="0.35">
      <c r="A3" s="6" t="s">
        <v>25</v>
      </c>
      <c r="B3" s="3">
        <v>9342.4699999999993</v>
      </c>
      <c r="C3">
        <v>9390.89</v>
      </c>
      <c r="E3" s="2"/>
      <c r="G3" s="14">
        <f>C3-B3</f>
        <v>48.420000000000073</v>
      </c>
    </row>
    <row r="4" spans="1:7" ht="15.5" x14ac:dyDescent="0.35">
      <c r="A4" s="6" t="s">
        <v>26</v>
      </c>
      <c r="B4" s="3">
        <v>2541.9299999999998</v>
      </c>
      <c r="C4">
        <v>2539.3000000000002</v>
      </c>
      <c r="E4" s="2"/>
      <c r="G4" s="14">
        <f>C4-B4</f>
        <v>-2.6299999999996544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21136.23</v>
      </c>
      <c r="C7" s="7">
        <v>21184.04</v>
      </c>
      <c r="D7" s="3"/>
      <c r="E7" s="10">
        <v>-0.23</v>
      </c>
      <c r="G7" s="14">
        <f>B7-C7</f>
        <v>-47.81000000000131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1737.05</v>
      </c>
      <c r="C9" s="7">
        <v>1743.61</v>
      </c>
      <c r="D9" s="3"/>
      <c r="E9" s="10">
        <v>-0.38</v>
      </c>
      <c r="G9" s="14">
        <f t="shared" ref="G9:G30" si="0">B9-C9</f>
        <v>-6.5599999999999454</v>
      </c>
    </row>
    <row r="10" spans="1:7" ht="15.5" x14ac:dyDescent="0.35">
      <c r="A10" s="6" t="s">
        <v>7</v>
      </c>
      <c r="B10" s="7">
        <v>2429.41</v>
      </c>
      <c r="C10" s="7">
        <v>2436.2199999999998</v>
      </c>
      <c r="D10" s="3"/>
      <c r="E10" s="10">
        <v>-0.28000000000000003</v>
      </c>
      <c r="G10" s="14">
        <f t="shared" si="0"/>
        <v>-6.8099999999999454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1346.164</v>
      </c>
      <c r="C12" s="7">
        <v>1350.057</v>
      </c>
      <c r="D12" s="2"/>
      <c r="E12" s="10">
        <v>-0.28999999999999998</v>
      </c>
      <c r="G12" s="14">
        <f t="shared" si="0"/>
        <v>-3.8930000000000291</v>
      </c>
    </row>
    <row r="13" spans="1:7" ht="15.5" x14ac:dyDescent="0.35">
      <c r="A13" s="6" t="s">
        <v>9</v>
      </c>
      <c r="B13" s="7">
        <v>1394.8820000000001</v>
      </c>
      <c r="C13" s="7">
        <v>1396.4549999999999</v>
      </c>
      <c r="D13" s="2"/>
      <c r="E13" s="10">
        <v>-0.11</v>
      </c>
      <c r="G13" s="14">
        <f t="shared" si="0"/>
        <v>-1.5729999999998654</v>
      </c>
    </row>
    <row r="14" spans="1:7" ht="15.5" x14ac:dyDescent="0.35">
      <c r="A14" s="6" t="s">
        <v>10</v>
      </c>
      <c r="B14" s="7">
        <v>1437.856</v>
      </c>
      <c r="C14" s="7">
        <v>1441.83</v>
      </c>
      <c r="D14" s="2"/>
      <c r="E14" s="10">
        <v>-0.28000000000000003</v>
      </c>
      <c r="G14" s="14">
        <f t="shared" si="0"/>
        <v>-3.9739999999999327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11671.44</v>
      </c>
      <c r="C16" s="7">
        <v>11693.81</v>
      </c>
      <c r="D16" s="3"/>
      <c r="E16" s="10">
        <v>-0.19</v>
      </c>
      <c r="G16" s="14">
        <f t="shared" si="0"/>
        <v>-22.369999999998981</v>
      </c>
    </row>
    <row r="17" spans="1:7" ht="15.5" x14ac:dyDescent="0.35">
      <c r="A17" s="6" t="s">
        <v>12</v>
      </c>
      <c r="B17" s="7">
        <v>6275.058</v>
      </c>
      <c r="C17" s="7">
        <v>6295.6840000000002</v>
      </c>
      <c r="D17" s="3"/>
      <c r="E17" s="10">
        <v>-0.33</v>
      </c>
      <c r="G17" s="14">
        <f t="shared" si="0"/>
        <v>-20.626000000000204</v>
      </c>
    </row>
    <row r="18" spans="1:7" ht="15.5" x14ac:dyDescent="0.35">
      <c r="A18" s="6" t="s">
        <v>13</v>
      </c>
      <c r="B18" s="7">
        <v>2647.9270000000001</v>
      </c>
      <c r="C18" s="7">
        <v>2632.9839999999999</v>
      </c>
      <c r="D18" s="3"/>
      <c r="E18" s="8">
        <v>0.56999999999999995</v>
      </c>
      <c r="G18" s="14">
        <f t="shared" si="0"/>
        <v>14.943000000000211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1926.05</v>
      </c>
      <c r="C20" s="7">
        <v>1931.57</v>
      </c>
      <c r="D20" s="2"/>
      <c r="E20" s="10">
        <v>-0.28999999999999998</v>
      </c>
      <c r="G20" s="14">
        <f t="shared" si="0"/>
        <v>-5.5199999999999818</v>
      </c>
    </row>
    <row r="21" spans="1:7" ht="15.5" x14ac:dyDescent="0.35">
      <c r="A21" s="6" t="s">
        <v>15</v>
      </c>
      <c r="B21" s="7">
        <v>1904.45</v>
      </c>
      <c r="C21" s="7">
        <v>1910.75</v>
      </c>
      <c r="D21" s="2"/>
      <c r="E21" s="10">
        <v>-0.33</v>
      </c>
      <c r="G21" s="14">
        <f t="shared" si="0"/>
        <v>-6.2999999999999545</v>
      </c>
    </row>
    <row r="22" spans="1:7" ht="31" x14ac:dyDescent="0.35">
      <c r="A22" s="6" t="s">
        <v>16</v>
      </c>
      <c r="B22" s="7">
        <v>1015.71</v>
      </c>
      <c r="C22" s="7">
        <v>1017.45</v>
      </c>
      <c r="D22" s="2"/>
      <c r="E22" s="10">
        <v>-0.17</v>
      </c>
      <c r="G22" s="14">
        <f t="shared" si="0"/>
        <v>-1.7400000000000091</v>
      </c>
    </row>
    <row r="23" spans="1:7" ht="15.5" x14ac:dyDescent="0.35">
      <c r="A23" s="6" t="s">
        <v>17</v>
      </c>
      <c r="B23" s="7">
        <v>1906.28</v>
      </c>
      <c r="C23" s="7">
        <v>1914.027</v>
      </c>
      <c r="D23" s="3"/>
      <c r="E23" s="10">
        <v>-0.4</v>
      </c>
      <c r="G23" s="14">
        <f t="shared" si="0"/>
        <v>-7.7470000000000709</v>
      </c>
    </row>
    <row r="24" spans="1:7" ht="15.5" x14ac:dyDescent="0.35">
      <c r="A24" s="6" t="s">
        <v>18</v>
      </c>
      <c r="B24" s="9">
        <v>102.078</v>
      </c>
      <c r="C24" s="9">
        <v>101.73399999999999</v>
      </c>
      <c r="D24" s="3"/>
      <c r="E24" s="8">
        <v>0.34</v>
      </c>
      <c r="G24" s="14">
        <f t="shared" si="0"/>
        <v>0.3440000000000083</v>
      </c>
    </row>
    <row r="25" spans="1:7" ht="15.5" x14ac:dyDescent="0.35">
      <c r="A25" s="6" t="s">
        <v>19</v>
      </c>
      <c r="B25" s="9">
        <v>100.203</v>
      </c>
      <c r="C25" s="9">
        <v>100.047</v>
      </c>
      <c r="D25" s="3"/>
      <c r="E25" s="8">
        <v>0.16</v>
      </c>
      <c r="G25" s="14">
        <f t="shared" si="0"/>
        <v>0.15600000000000591</v>
      </c>
    </row>
    <row r="26" spans="1:7" ht="15.5" x14ac:dyDescent="0.35">
      <c r="A26" s="6" t="s">
        <v>20</v>
      </c>
      <c r="B26" s="9">
        <v>99.921999999999997</v>
      </c>
      <c r="C26" s="9">
        <v>99.897999999999996</v>
      </c>
      <c r="D26" s="3"/>
      <c r="E26" s="8">
        <v>0.02</v>
      </c>
      <c r="G26" s="14">
        <f t="shared" si="0"/>
        <v>2.4000000000000909E-2</v>
      </c>
    </row>
    <row r="27" spans="1:7" x14ac:dyDescent="0.35">
      <c r="A27" s="11" t="s">
        <v>21</v>
      </c>
      <c r="B27" s="9">
        <v>0.96</v>
      </c>
      <c r="C27" s="9">
        <v>0.95</v>
      </c>
      <c r="D27" s="3"/>
      <c r="E27" s="8">
        <v>1.05</v>
      </c>
      <c r="G27" s="14">
        <f t="shared" si="0"/>
        <v>1.0000000000000009E-2</v>
      </c>
    </row>
    <row r="28" spans="1:7" x14ac:dyDescent="0.35">
      <c r="A28" s="11" t="s">
        <v>22</v>
      </c>
      <c r="B28" s="9">
        <v>1.05</v>
      </c>
      <c r="C28" s="9">
        <v>1.04</v>
      </c>
      <c r="D28" s="3"/>
      <c r="E28" s="8">
        <v>0.96</v>
      </c>
      <c r="G28" s="14">
        <f t="shared" si="0"/>
        <v>1.0000000000000009E-2</v>
      </c>
    </row>
    <row r="29" spans="1:7" ht="15.5" x14ac:dyDescent="0.35">
      <c r="A29" s="6" t="s">
        <v>23</v>
      </c>
      <c r="B29" s="9">
        <v>103.84399999999999</v>
      </c>
      <c r="C29" s="9">
        <v>103.25</v>
      </c>
      <c r="D29" s="3"/>
      <c r="E29" s="8">
        <v>0.57999999999999996</v>
      </c>
      <c r="G29" s="14">
        <f t="shared" si="0"/>
        <v>0.59399999999999409</v>
      </c>
    </row>
    <row r="30" spans="1:7" ht="15.5" x14ac:dyDescent="0.35">
      <c r="A30" s="6" t="s">
        <v>24</v>
      </c>
      <c r="B30" s="7">
        <v>15464.56</v>
      </c>
      <c r="C30" s="7">
        <v>15409.78</v>
      </c>
      <c r="D30" s="3"/>
      <c r="E30" s="8">
        <v>0.36</v>
      </c>
      <c r="G30" s="14">
        <f t="shared" si="0"/>
        <v>54.779999999998836</v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42893</v>
      </c>
      <c r="B2" s="3"/>
      <c r="C2" s="2"/>
      <c r="D2" s="3"/>
      <c r="E2" s="2"/>
      <c r="G2" s="14"/>
    </row>
    <row r="3" spans="1:7" ht="15.5" x14ac:dyDescent="0.35">
      <c r="A3" s="6" t="s">
        <v>25</v>
      </c>
      <c r="B3" s="14">
        <v>9418.81</v>
      </c>
      <c r="C3" s="14">
        <v>9342.4699999999993</v>
      </c>
      <c r="D3" s="3"/>
      <c r="E3" s="22">
        <f>G3/B3</f>
        <v>8.1050578576274662E-3</v>
      </c>
      <c r="G3" s="14">
        <f t="shared" ref="G3:G4" si="0">B3-C3</f>
        <v>76.340000000000146</v>
      </c>
    </row>
    <row r="4" spans="1:7" ht="15.5" x14ac:dyDescent="0.35">
      <c r="A4" s="6" t="s">
        <v>26</v>
      </c>
      <c r="B4" s="14">
        <v>2533.13</v>
      </c>
      <c r="C4" s="14">
        <v>2541.9299999999998</v>
      </c>
      <c r="D4" s="3"/>
      <c r="E4" s="22">
        <f>G4/B4</f>
        <v>-3.4739630417703498E-3</v>
      </c>
      <c r="G4" s="14">
        <f t="shared" si="0"/>
        <v>-8.7999999999997272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21173.69</v>
      </c>
      <c r="C7" s="7">
        <v>21136.23</v>
      </c>
      <c r="D7" s="3"/>
      <c r="E7" s="8">
        <v>0.18</v>
      </c>
      <c r="G7" s="14">
        <f>B7-C7</f>
        <v>37.459999999999127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1736.77</v>
      </c>
      <c r="C9" s="7">
        <v>1737.05</v>
      </c>
      <c r="D9" s="3"/>
      <c r="E9" s="10">
        <v>-0.02</v>
      </c>
      <c r="G9" s="14">
        <f t="shared" ref="G9:G30" si="1">B9-C9</f>
        <v>-0.27999999999997272</v>
      </c>
    </row>
    <row r="10" spans="1:7" ht="15.5" x14ac:dyDescent="0.35">
      <c r="A10" s="6" t="s">
        <v>7</v>
      </c>
      <c r="B10" s="7">
        <v>2433.08</v>
      </c>
      <c r="C10" s="7">
        <v>2429.41</v>
      </c>
      <c r="D10" s="3"/>
      <c r="E10" s="8">
        <v>0.15</v>
      </c>
      <c r="G10" s="14">
        <f t="shared" si="1"/>
        <v>3.6700000000000728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1347.922</v>
      </c>
      <c r="C12" s="7">
        <v>1346.164</v>
      </c>
      <c r="D12" s="2"/>
      <c r="E12" s="8">
        <v>0.13</v>
      </c>
      <c r="G12" s="14">
        <f t="shared" si="1"/>
        <v>1.7580000000000382</v>
      </c>
    </row>
    <row r="13" spans="1:7" ht="15.5" x14ac:dyDescent="0.35">
      <c r="A13" s="6" t="s">
        <v>9</v>
      </c>
      <c r="B13" s="7">
        <v>1396.4770000000001</v>
      </c>
      <c r="C13" s="7">
        <v>1394.8820000000001</v>
      </c>
      <c r="D13" s="2"/>
      <c r="E13" s="8">
        <v>0.11</v>
      </c>
      <c r="G13" s="14">
        <f t="shared" si="1"/>
        <v>1.5950000000000273</v>
      </c>
    </row>
    <row r="14" spans="1:7" ht="15.5" x14ac:dyDescent="0.35">
      <c r="A14" s="6" t="s">
        <v>10</v>
      </c>
      <c r="B14" s="7">
        <v>1439.7270000000001</v>
      </c>
      <c r="C14" s="7">
        <v>1437.856</v>
      </c>
      <c r="D14" s="2"/>
      <c r="E14" s="8">
        <v>0.13</v>
      </c>
      <c r="G14" s="14">
        <f t="shared" si="1"/>
        <v>1.8710000000000946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11667.46</v>
      </c>
      <c r="C16" s="7">
        <v>11671.44</v>
      </c>
      <c r="D16" s="3"/>
      <c r="E16" s="10">
        <v>-0.03</v>
      </c>
      <c r="G16" s="14">
        <f t="shared" si="1"/>
        <v>-3.9800000000013824</v>
      </c>
    </row>
    <row r="17" spans="1:7" ht="15.5" x14ac:dyDescent="0.35">
      <c r="A17" s="6" t="s">
        <v>12</v>
      </c>
      <c r="B17" s="7">
        <v>6297.38</v>
      </c>
      <c r="C17" s="7">
        <v>6275.058</v>
      </c>
      <c r="D17" s="3"/>
      <c r="E17" s="8">
        <v>0.36</v>
      </c>
      <c r="G17" s="14">
        <f t="shared" si="1"/>
        <v>22.322000000000116</v>
      </c>
    </row>
    <row r="18" spans="1:7" ht="15.5" x14ac:dyDescent="0.35">
      <c r="A18" s="6" t="s">
        <v>13</v>
      </c>
      <c r="B18" s="7">
        <v>2639.1080000000002</v>
      </c>
      <c r="C18" s="7">
        <v>2647.9270000000001</v>
      </c>
      <c r="D18" s="3"/>
      <c r="E18" s="10">
        <v>-0.33</v>
      </c>
      <c r="G18" s="14">
        <f t="shared" si="1"/>
        <v>-8.81899999999996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1927.06</v>
      </c>
      <c r="C20" s="7">
        <v>1926.05</v>
      </c>
      <c r="D20" s="2"/>
      <c r="E20" s="8">
        <v>0.05</v>
      </c>
      <c r="G20" s="14">
        <f t="shared" si="1"/>
        <v>1.0099999999999909</v>
      </c>
    </row>
    <row r="21" spans="1:7" ht="15.5" x14ac:dyDescent="0.35">
      <c r="A21" s="6" t="s">
        <v>15</v>
      </c>
      <c r="B21" s="7">
        <v>1903.87</v>
      </c>
      <c r="C21" s="7">
        <v>1904.45</v>
      </c>
      <c r="D21" s="2"/>
      <c r="E21" s="10">
        <v>-0.03</v>
      </c>
      <c r="G21" s="14">
        <f t="shared" si="1"/>
        <v>-0.58000000000015461</v>
      </c>
    </row>
    <row r="22" spans="1:7" ht="31" x14ac:dyDescent="0.35">
      <c r="A22" s="6" t="s">
        <v>16</v>
      </c>
      <c r="B22" s="7">
        <v>1015.75</v>
      </c>
      <c r="C22" s="7">
        <v>1015.71</v>
      </c>
      <c r="D22" s="2"/>
      <c r="E22" s="8">
        <v>0</v>
      </c>
      <c r="G22" s="14">
        <f t="shared" si="1"/>
        <v>3.999999999996362E-2</v>
      </c>
    </row>
    <row r="23" spans="1:7" ht="15.5" x14ac:dyDescent="0.35">
      <c r="A23" s="6" t="s">
        <v>17</v>
      </c>
      <c r="B23" s="7">
        <v>1906.59</v>
      </c>
      <c r="C23" s="7">
        <v>1906.278</v>
      </c>
      <c r="D23" s="3"/>
      <c r="E23" s="8">
        <v>0.02</v>
      </c>
      <c r="G23" s="14">
        <f t="shared" si="1"/>
        <v>0.31199999999989814</v>
      </c>
    </row>
    <row r="24" spans="1:7" ht="15.5" x14ac:dyDescent="0.35">
      <c r="A24" s="6" t="s">
        <v>18</v>
      </c>
      <c r="B24" s="9">
        <v>101.76600000000001</v>
      </c>
      <c r="C24" s="9">
        <v>102.078</v>
      </c>
      <c r="D24" s="3"/>
      <c r="E24" s="10">
        <v>-0.31</v>
      </c>
      <c r="G24" s="14">
        <f t="shared" si="1"/>
        <v>-0.31199999999999761</v>
      </c>
    </row>
    <row r="25" spans="1:7" ht="15.5" x14ac:dyDescent="0.35">
      <c r="A25" s="6" t="s">
        <v>19</v>
      </c>
      <c r="B25" s="9">
        <v>100.05500000000001</v>
      </c>
      <c r="C25" s="9">
        <v>100.203</v>
      </c>
      <c r="D25" s="3"/>
      <c r="E25" s="10">
        <v>-0.15</v>
      </c>
      <c r="G25" s="14">
        <f t="shared" si="1"/>
        <v>-0.14799999999999613</v>
      </c>
    </row>
    <row r="26" spans="1:7" ht="15.5" x14ac:dyDescent="0.35">
      <c r="A26" s="6" t="s">
        <v>20</v>
      </c>
      <c r="B26" s="9">
        <v>99.882999999999996</v>
      </c>
      <c r="C26" s="9">
        <v>99.921999999999997</v>
      </c>
      <c r="D26" s="3"/>
      <c r="E26" s="10">
        <v>-0.04</v>
      </c>
      <c r="G26" s="14">
        <f t="shared" si="1"/>
        <v>-3.9000000000001478E-2</v>
      </c>
    </row>
    <row r="27" spans="1:7" x14ac:dyDescent="0.35">
      <c r="A27" s="11" t="s">
        <v>21</v>
      </c>
      <c r="B27" s="9">
        <v>0.97499999999999998</v>
      </c>
      <c r="C27" s="9">
        <v>0.96</v>
      </c>
      <c r="D27" s="3"/>
      <c r="E27" s="8">
        <v>1.56</v>
      </c>
      <c r="G27" s="14">
        <f t="shared" si="1"/>
        <v>1.5000000000000013E-2</v>
      </c>
    </row>
    <row r="28" spans="1:7" x14ac:dyDescent="0.35">
      <c r="A28" s="11" t="s">
        <v>22</v>
      </c>
      <c r="B28" s="9">
        <v>1.075</v>
      </c>
      <c r="C28" s="9">
        <v>1.05</v>
      </c>
      <c r="D28" s="3"/>
      <c r="E28" s="8">
        <v>2.38</v>
      </c>
      <c r="G28" s="14">
        <f t="shared" si="1"/>
        <v>2.4999999999999911E-2</v>
      </c>
    </row>
    <row r="29" spans="1:7" ht="15.5" x14ac:dyDescent="0.35">
      <c r="A29" s="6" t="s">
        <v>23</v>
      </c>
      <c r="B29" s="9">
        <v>103.25</v>
      </c>
      <c r="C29" s="9">
        <v>103.84399999999999</v>
      </c>
      <c r="D29" s="3"/>
      <c r="E29" s="10">
        <v>-0.56999999999999995</v>
      </c>
      <c r="G29" s="14">
        <f t="shared" si="1"/>
        <v>-0.59399999999999409</v>
      </c>
    </row>
    <row r="30" spans="1:7" ht="15.5" x14ac:dyDescent="0.35">
      <c r="A30" s="6" t="s">
        <v>24</v>
      </c>
      <c r="B30" s="7">
        <v>15372.14</v>
      </c>
      <c r="C30" s="7">
        <v>15464.56</v>
      </c>
      <c r="D30" s="3"/>
      <c r="E30" s="10">
        <v>-0.6</v>
      </c>
      <c r="G30" s="14">
        <f t="shared" si="1"/>
        <v>-92.420000000000073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9.1796875" style="14"/>
  </cols>
  <sheetData>
    <row r="1" spans="1:7" ht="18" x14ac:dyDescent="0.35">
      <c r="A1" s="1" t="s">
        <v>0</v>
      </c>
      <c r="B1" s="3"/>
      <c r="C1" s="2"/>
      <c r="D1" s="3"/>
      <c r="E1" s="2"/>
    </row>
    <row r="2" spans="1:7" ht="15.5" x14ac:dyDescent="0.35">
      <c r="A2" s="4">
        <v>42894</v>
      </c>
      <c r="B2" s="3"/>
      <c r="C2" s="2"/>
      <c r="D2" s="3"/>
      <c r="E2" s="2"/>
    </row>
    <row r="3" spans="1:7" ht="15.5" x14ac:dyDescent="0.35">
      <c r="A3" s="6" t="s">
        <v>25</v>
      </c>
      <c r="B3" s="14">
        <v>9402.27</v>
      </c>
      <c r="C3" s="14">
        <v>9418.81</v>
      </c>
      <c r="D3" s="3"/>
      <c r="E3" s="22">
        <f>G3/B3</f>
        <v>-1.7591496521583675E-3</v>
      </c>
      <c r="G3" s="14">
        <f t="shared" ref="G3:G4" si="0">B3-C3</f>
        <v>-16.539999999999054</v>
      </c>
    </row>
    <row r="4" spans="1:7" ht="15.5" x14ac:dyDescent="0.35">
      <c r="A4" s="6" t="s">
        <v>26</v>
      </c>
      <c r="B4" s="14">
        <v>2535.88</v>
      </c>
      <c r="C4" s="14">
        <v>2533.13</v>
      </c>
      <c r="D4" s="3"/>
      <c r="E4" s="22">
        <f>G4/B4</f>
        <v>1.0844361720586148E-3</v>
      </c>
      <c r="G4" s="14">
        <f t="shared" si="0"/>
        <v>2.75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</row>
    <row r="6" spans="1:7" x14ac:dyDescent="0.35">
      <c r="A6" s="3"/>
      <c r="B6" s="3"/>
      <c r="C6" s="2"/>
      <c r="D6" s="3"/>
      <c r="E6" s="2"/>
    </row>
    <row r="7" spans="1:7" ht="15.5" x14ac:dyDescent="0.35">
      <c r="A7" s="6" t="s">
        <v>5</v>
      </c>
      <c r="B7" s="7">
        <v>21182.53</v>
      </c>
      <c r="C7" s="7">
        <v>21173.69</v>
      </c>
      <c r="D7" s="3"/>
      <c r="E7" s="8">
        <v>0.04</v>
      </c>
      <c r="G7" s="14">
        <f>B7-C7</f>
        <v>8.8400000000001455</v>
      </c>
    </row>
    <row r="8" spans="1:7" x14ac:dyDescent="0.35">
      <c r="A8" s="3"/>
      <c r="B8" s="2"/>
      <c r="C8" s="2"/>
      <c r="D8" s="3"/>
      <c r="E8" s="2"/>
    </row>
    <row r="9" spans="1:7" ht="15.5" x14ac:dyDescent="0.35">
      <c r="A9" s="6" t="s">
        <v>6</v>
      </c>
      <c r="B9" s="7">
        <v>1750.77</v>
      </c>
      <c r="C9" s="7">
        <v>1736.77</v>
      </c>
      <c r="D9" s="3"/>
      <c r="E9" s="8">
        <v>0.81</v>
      </c>
      <c r="G9" s="14">
        <f t="shared" ref="G9:G30" si="1">B9-C9</f>
        <v>14</v>
      </c>
    </row>
    <row r="10" spans="1:7" ht="15.5" x14ac:dyDescent="0.35">
      <c r="A10" s="6" t="s">
        <v>7</v>
      </c>
      <c r="B10" s="7">
        <v>2433.7800000000002</v>
      </c>
      <c r="C10" s="7">
        <v>2433.08</v>
      </c>
      <c r="D10" s="3"/>
      <c r="E10" s="8">
        <v>0.03</v>
      </c>
      <c r="G10" s="14">
        <f t="shared" si="1"/>
        <v>0.70000000000027285</v>
      </c>
    </row>
    <row r="11" spans="1:7" x14ac:dyDescent="0.35">
      <c r="A11" s="3"/>
      <c r="B11" s="2"/>
      <c r="C11" s="2"/>
      <c r="D11" s="2"/>
      <c r="E11" s="2"/>
    </row>
    <row r="12" spans="1:7" ht="15.5" x14ac:dyDescent="0.35">
      <c r="A12" s="6" t="s">
        <v>8</v>
      </c>
      <c r="B12" s="7">
        <v>1348.703</v>
      </c>
      <c r="C12" s="7">
        <v>1347.922</v>
      </c>
      <c r="D12" s="2"/>
      <c r="E12" s="8">
        <v>0.06</v>
      </c>
      <c r="G12" s="14">
        <f t="shared" si="1"/>
        <v>0.78099999999994907</v>
      </c>
    </row>
    <row r="13" spans="1:7" ht="15.5" x14ac:dyDescent="0.35">
      <c r="A13" s="6" t="s">
        <v>9</v>
      </c>
      <c r="B13" s="7">
        <v>1415.4649999999999</v>
      </c>
      <c r="C13" s="7">
        <v>1396.4770000000001</v>
      </c>
      <c r="D13" s="2"/>
      <c r="E13" s="8">
        <v>1.36</v>
      </c>
      <c r="G13" s="14">
        <f t="shared" si="1"/>
        <v>18.987999999999829</v>
      </c>
    </row>
    <row r="14" spans="1:7" ht="15.5" x14ac:dyDescent="0.35">
      <c r="A14" s="6" t="s">
        <v>10</v>
      </c>
      <c r="B14" s="7">
        <v>1441.9480000000001</v>
      </c>
      <c r="C14" s="7">
        <v>1439.7270000000001</v>
      </c>
      <c r="D14" s="2"/>
      <c r="E14" s="8">
        <v>0.15</v>
      </c>
      <c r="G14" s="14">
        <f t="shared" si="1"/>
        <v>2.2210000000000036</v>
      </c>
    </row>
    <row r="15" spans="1:7" x14ac:dyDescent="0.35">
      <c r="A15" s="3"/>
      <c r="B15" s="2"/>
      <c r="C15" s="2"/>
      <c r="D15" s="2"/>
      <c r="E15" s="2"/>
    </row>
    <row r="16" spans="1:7" ht="15.5" x14ac:dyDescent="0.35">
      <c r="A16" s="6" t="s">
        <v>11</v>
      </c>
      <c r="B16" s="7">
        <v>11678.81</v>
      </c>
      <c r="C16" s="7">
        <v>11667.46</v>
      </c>
      <c r="D16" s="3"/>
      <c r="E16" s="8">
        <v>0.1</v>
      </c>
      <c r="G16" s="14">
        <f t="shared" si="1"/>
        <v>11.350000000000364</v>
      </c>
    </row>
    <row r="17" spans="1:7" ht="15.5" x14ac:dyDescent="0.35">
      <c r="A17" s="6" t="s">
        <v>12</v>
      </c>
      <c r="B17" s="7">
        <v>6321.7640000000001</v>
      </c>
      <c r="C17" s="7">
        <v>6297.38</v>
      </c>
      <c r="D17" s="3"/>
      <c r="E17" s="8">
        <v>0.39</v>
      </c>
      <c r="G17" s="14">
        <f t="shared" si="1"/>
        <v>24.384000000000015</v>
      </c>
    </row>
    <row r="18" spans="1:7" ht="15.5" x14ac:dyDescent="0.35">
      <c r="A18" s="6" t="s">
        <v>13</v>
      </c>
      <c r="B18" s="7">
        <v>2616.3829999999998</v>
      </c>
      <c r="C18" s="7">
        <v>2639.1080000000002</v>
      </c>
      <c r="D18" s="3"/>
      <c r="E18" s="10">
        <v>-0.86</v>
      </c>
      <c r="G18" s="14">
        <f t="shared" si="1"/>
        <v>-22.725000000000364</v>
      </c>
    </row>
    <row r="19" spans="1:7" x14ac:dyDescent="0.35">
      <c r="A19" s="3"/>
      <c r="B19" s="2"/>
      <c r="C19" s="2"/>
      <c r="D19" s="3"/>
      <c r="E19" s="2"/>
    </row>
    <row r="20" spans="1:7" ht="15.5" x14ac:dyDescent="0.35">
      <c r="A20" s="6" t="s">
        <v>14</v>
      </c>
      <c r="B20" s="7">
        <v>1924.2</v>
      </c>
      <c r="C20" s="7">
        <v>1927.06</v>
      </c>
      <c r="D20" s="2"/>
      <c r="E20" s="10">
        <v>-0.15</v>
      </c>
      <c r="G20" s="14">
        <f t="shared" si="1"/>
        <v>-2.8599999999999</v>
      </c>
    </row>
    <row r="21" spans="1:7" ht="15.5" x14ac:dyDescent="0.35">
      <c r="A21" s="6" t="s">
        <v>15</v>
      </c>
      <c r="B21" s="7">
        <v>1894.49</v>
      </c>
      <c r="C21" s="7">
        <v>1903.87</v>
      </c>
      <c r="D21" s="2"/>
      <c r="E21" s="10">
        <v>-0.49</v>
      </c>
      <c r="G21" s="14">
        <f t="shared" si="1"/>
        <v>-9.3799999999998818</v>
      </c>
    </row>
    <row r="22" spans="1:7" ht="31" x14ac:dyDescent="0.35">
      <c r="A22" s="6" t="s">
        <v>16</v>
      </c>
      <c r="B22" s="7">
        <v>1019.57</v>
      </c>
      <c r="C22" s="7">
        <v>1015.75</v>
      </c>
      <c r="D22" s="2"/>
      <c r="E22" s="8">
        <v>0.38</v>
      </c>
      <c r="G22" s="14">
        <f t="shared" si="1"/>
        <v>3.82000000000005</v>
      </c>
    </row>
    <row r="23" spans="1:7" ht="15.5" x14ac:dyDescent="0.35">
      <c r="A23" s="6" t="s">
        <v>17</v>
      </c>
      <c r="B23" s="7">
        <v>1910.73</v>
      </c>
      <c r="C23" s="7">
        <v>1906.5889999999999</v>
      </c>
      <c r="D23" s="3"/>
      <c r="E23" s="8">
        <v>0.22</v>
      </c>
      <c r="G23" s="14">
        <f t="shared" si="1"/>
        <v>4.1410000000000764</v>
      </c>
    </row>
    <row r="24" spans="1:7" ht="15.5" x14ac:dyDescent="0.35">
      <c r="A24" s="6" t="s">
        <v>18</v>
      </c>
      <c r="B24" s="9">
        <v>101.64100000000001</v>
      </c>
      <c r="C24" s="9">
        <v>101.76600000000001</v>
      </c>
      <c r="D24" s="3"/>
      <c r="E24" s="10">
        <v>-0.12</v>
      </c>
      <c r="G24" s="14">
        <f t="shared" si="1"/>
        <v>-0.125</v>
      </c>
    </row>
    <row r="25" spans="1:7" ht="15.5" x14ac:dyDescent="0.35">
      <c r="A25" s="6" t="s">
        <v>19</v>
      </c>
      <c r="B25" s="9">
        <v>99.992000000000004</v>
      </c>
      <c r="C25" s="9">
        <v>100.05500000000001</v>
      </c>
      <c r="D25" s="3"/>
      <c r="E25" s="10">
        <v>-0.06</v>
      </c>
      <c r="G25" s="14">
        <f t="shared" si="1"/>
        <v>-6.3000000000002387E-2</v>
      </c>
    </row>
    <row r="26" spans="1:7" ht="15.5" x14ac:dyDescent="0.35">
      <c r="A26" s="6" t="s">
        <v>20</v>
      </c>
      <c r="B26" s="9">
        <v>99.867000000000004</v>
      </c>
      <c r="C26" s="9">
        <v>99.882999999999996</v>
      </c>
      <c r="D26" s="3"/>
      <c r="E26" s="10">
        <v>-0.02</v>
      </c>
      <c r="G26" s="14">
        <f t="shared" si="1"/>
        <v>-1.5999999999991132E-2</v>
      </c>
    </row>
    <row r="27" spans="1:7" x14ac:dyDescent="0.35">
      <c r="A27" s="11" t="s">
        <v>21</v>
      </c>
      <c r="B27" s="9">
        <v>0.98</v>
      </c>
      <c r="C27" s="9">
        <v>0.97499999999999998</v>
      </c>
      <c r="D27" s="3"/>
      <c r="E27" s="8">
        <v>0.51</v>
      </c>
      <c r="G27" s="14">
        <f t="shared" si="1"/>
        <v>5.0000000000000044E-3</v>
      </c>
    </row>
    <row r="28" spans="1:7" x14ac:dyDescent="0.35">
      <c r="A28" s="11" t="s">
        <v>22</v>
      </c>
      <c r="B28" s="9">
        <v>1.085</v>
      </c>
      <c r="C28" s="9">
        <v>1.075</v>
      </c>
      <c r="D28" s="3"/>
      <c r="E28" s="8">
        <v>0.93</v>
      </c>
      <c r="G28" s="14">
        <f t="shared" si="1"/>
        <v>1.0000000000000009E-2</v>
      </c>
    </row>
    <row r="29" spans="1:7" ht="15.5" x14ac:dyDescent="0.35">
      <c r="A29" s="6" t="s">
        <v>23</v>
      </c>
      <c r="B29" s="9">
        <v>102.98399999999999</v>
      </c>
      <c r="C29" s="9">
        <v>103.25</v>
      </c>
      <c r="D29" s="3"/>
      <c r="E29" s="10">
        <v>-0.26</v>
      </c>
      <c r="G29" s="14">
        <f t="shared" si="1"/>
        <v>-0.26600000000000534</v>
      </c>
    </row>
    <row r="30" spans="1:7" ht="15.5" x14ac:dyDescent="0.35">
      <c r="A30" s="6" t="s">
        <v>24</v>
      </c>
      <c r="B30" s="7">
        <v>15423.09</v>
      </c>
      <c r="C30" s="7">
        <v>15372.14</v>
      </c>
      <c r="D30" s="3"/>
      <c r="E30" s="8">
        <v>0.33</v>
      </c>
      <c r="G30" s="14">
        <f t="shared" si="1"/>
        <v>50.950000000000728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42895</v>
      </c>
      <c r="B2" s="3"/>
      <c r="C2" s="2"/>
      <c r="D2" s="3"/>
      <c r="E2" s="2"/>
      <c r="G2" s="14"/>
    </row>
    <row r="3" spans="1:7" ht="15.5" x14ac:dyDescent="0.35">
      <c r="A3" s="6" t="s">
        <v>25</v>
      </c>
      <c r="B3" s="14">
        <v>9468.2099999999991</v>
      </c>
      <c r="C3" s="14">
        <v>9402.27</v>
      </c>
      <c r="D3" s="3"/>
      <c r="E3" s="22">
        <f>G3/B3</f>
        <v>6.9643575712831354E-3</v>
      </c>
      <c r="G3" s="14">
        <f t="shared" ref="G3:G4" si="0">B3-C3</f>
        <v>65.93999999999869</v>
      </c>
    </row>
    <row r="4" spans="1:7" ht="15.5" x14ac:dyDescent="0.35">
      <c r="A4" s="6" t="s">
        <v>26</v>
      </c>
      <c r="B4" s="14">
        <v>2532.04</v>
      </c>
      <c r="C4" s="14">
        <v>2535.88</v>
      </c>
      <c r="D4" s="3"/>
      <c r="E4" s="22">
        <f>G4/B4</f>
        <v>-1.5165637193725792E-3</v>
      </c>
      <c r="G4" s="14">
        <f t="shared" si="0"/>
        <v>-3.8400000000001455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21271.97</v>
      </c>
      <c r="C7" s="7">
        <v>21173.69</v>
      </c>
      <c r="D7" s="3"/>
      <c r="E7" s="8">
        <v>0.46</v>
      </c>
      <c r="G7" s="14">
        <f>B7-C7</f>
        <v>98.280000000002474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1757.54</v>
      </c>
      <c r="C9" s="7">
        <v>1736.77</v>
      </c>
      <c r="D9" s="3"/>
      <c r="E9" s="8">
        <v>1.2</v>
      </c>
      <c r="G9" s="14">
        <f t="shared" ref="G9:G30" si="1">B9-C9</f>
        <v>20.769999999999982</v>
      </c>
    </row>
    <row r="10" spans="1:7" ht="15.5" x14ac:dyDescent="0.35">
      <c r="A10" s="6" t="s">
        <v>7</v>
      </c>
      <c r="B10" s="7">
        <v>2431.5700000000002</v>
      </c>
      <c r="C10" s="7">
        <v>2433.08</v>
      </c>
      <c r="D10" s="3"/>
      <c r="E10" s="10">
        <v>-0.06</v>
      </c>
      <c r="G10" s="14">
        <f t="shared" si="1"/>
        <v>-1.5099999999997635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1347.421</v>
      </c>
      <c r="C12" s="7">
        <v>1347.922</v>
      </c>
      <c r="D12" s="2"/>
      <c r="E12" s="10">
        <v>-0.04</v>
      </c>
      <c r="G12" s="14">
        <f t="shared" si="1"/>
        <v>-0.50099999999997635</v>
      </c>
    </row>
    <row r="13" spans="1:7" ht="15.5" x14ac:dyDescent="0.35">
      <c r="A13" s="6" t="s">
        <v>9</v>
      </c>
      <c r="B13" s="7">
        <v>1421.5640000000001</v>
      </c>
      <c r="C13" s="7">
        <v>1396.4770000000001</v>
      </c>
      <c r="D13" s="2"/>
      <c r="E13" s="8">
        <v>1.8</v>
      </c>
      <c r="G13" s="14">
        <f t="shared" si="1"/>
        <v>25.086999999999989</v>
      </c>
    </row>
    <row r="14" spans="1:7" ht="15.5" x14ac:dyDescent="0.35">
      <c r="A14" s="6" t="s">
        <v>10</v>
      </c>
      <c r="B14" s="7">
        <v>1441.143</v>
      </c>
      <c r="C14" s="7">
        <v>1439.7270000000001</v>
      </c>
      <c r="D14" s="2"/>
      <c r="E14" s="8">
        <v>0.1</v>
      </c>
      <c r="G14" s="14">
        <f t="shared" si="1"/>
        <v>1.41599999999994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11744.39</v>
      </c>
      <c r="C16" s="7">
        <v>11667.46</v>
      </c>
      <c r="D16" s="3"/>
      <c r="E16" s="8">
        <v>0.66</v>
      </c>
      <c r="G16" s="14">
        <f t="shared" si="1"/>
        <v>76.930000000000291</v>
      </c>
    </row>
    <row r="17" spans="1:7" ht="15.5" x14ac:dyDescent="0.35">
      <c r="A17" s="6" t="s">
        <v>12</v>
      </c>
      <c r="B17" s="7">
        <v>6207.9179999999997</v>
      </c>
      <c r="C17" s="7">
        <v>6297.38</v>
      </c>
      <c r="D17" s="3"/>
      <c r="E17" s="10">
        <v>-1.42</v>
      </c>
      <c r="G17" s="14">
        <f t="shared" si="1"/>
        <v>-89.462000000000444</v>
      </c>
    </row>
    <row r="18" spans="1:7" ht="15.5" x14ac:dyDescent="0.35">
      <c r="A18" s="6" t="s">
        <v>13</v>
      </c>
      <c r="B18" s="7">
        <v>2580.4499999999998</v>
      </c>
      <c r="C18" s="7">
        <v>2639.1080000000002</v>
      </c>
      <c r="D18" s="3"/>
      <c r="E18" s="10">
        <v>-2.2200000000000002</v>
      </c>
      <c r="G18" s="14">
        <f t="shared" si="1"/>
        <v>-58.658000000000357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1922.79</v>
      </c>
      <c r="C20" s="7">
        <v>1927.06</v>
      </c>
      <c r="D20" s="2"/>
      <c r="E20" s="10">
        <v>-0.22</v>
      </c>
      <c r="G20" s="14">
        <f t="shared" si="1"/>
        <v>-4.2699999999999818</v>
      </c>
    </row>
    <row r="21" spans="1:7" ht="15.5" x14ac:dyDescent="0.35">
      <c r="A21" s="6" t="s">
        <v>15</v>
      </c>
      <c r="B21" s="7">
        <v>1892.97</v>
      </c>
      <c r="C21" s="7">
        <v>1903.87</v>
      </c>
      <c r="D21" s="2"/>
      <c r="E21" s="10">
        <v>-0.56999999999999995</v>
      </c>
      <c r="G21" s="14">
        <f t="shared" si="1"/>
        <v>-10.899999999999864</v>
      </c>
    </row>
    <row r="22" spans="1:7" ht="31" x14ac:dyDescent="0.35">
      <c r="A22" s="6" t="s">
        <v>16</v>
      </c>
      <c r="B22" s="7">
        <v>1018.19</v>
      </c>
      <c r="C22" s="7">
        <v>1015.75</v>
      </c>
      <c r="D22" s="2"/>
      <c r="E22" s="8">
        <v>0.24</v>
      </c>
      <c r="G22" s="14">
        <f t="shared" si="1"/>
        <v>2.4400000000000546</v>
      </c>
    </row>
    <row r="23" spans="1:7" ht="15.5" x14ac:dyDescent="0.35">
      <c r="A23" s="6" t="s">
        <v>17</v>
      </c>
      <c r="B23" s="7">
        <v>1911.45</v>
      </c>
      <c r="C23" s="7">
        <v>1906.5889999999999</v>
      </c>
      <c r="D23" s="3"/>
      <c r="E23" s="8">
        <v>0.26</v>
      </c>
      <c r="G23" s="14">
        <f t="shared" si="1"/>
        <v>4.8610000000001037</v>
      </c>
    </row>
    <row r="24" spans="1:7" ht="15.5" x14ac:dyDescent="0.35">
      <c r="A24" s="6" t="s">
        <v>18</v>
      </c>
      <c r="B24" s="9">
        <v>101.51600000000001</v>
      </c>
      <c r="C24" s="9">
        <v>101.76600000000001</v>
      </c>
      <c r="D24" s="3"/>
      <c r="E24" s="10">
        <v>-0.25</v>
      </c>
      <c r="G24" s="14">
        <f t="shared" si="1"/>
        <v>-0.25</v>
      </c>
    </row>
    <row r="25" spans="1:7" ht="15.5" x14ac:dyDescent="0.35">
      <c r="A25" s="6" t="s">
        <v>19</v>
      </c>
      <c r="B25" s="9">
        <v>99.906000000000006</v>
      </c>
      <c r="C25" s="9">
        <v>100.05500000000001</v>
      </c>
      <c r="D25" s="3"/>
      <c r="E25" s="10">
        <v>-0.15</v>
      </c>
      <c r="G25" s="14">
        <f t="shared" si="1"/>
        <v>-0.14900000000000091</v>
      </c>
    </row>
    <row r="26" spans="1:7" ht="15.5" x14ac:dyDescent="0.35">
      <c r="A26" s="6" t="s">
        <v>20</v>
      </c>
      <c r="B26" s="9">
        <v>99.828000000000003</v>
      </c>
      <c r="C26" s="9">
        <v>99.882999999999996</v>
      </c>
      <c r="D26" s="3"/>
      <c r="E26" s="10">
        <v>-0.06</v>
      </c>
      <c r="G26" s="14">
        <f t="shared" si="1"/>
        <v>-5.499999999999261E-2</v>
      </c>
    </row>
    <row r="27" spans="1:7" x14ac:dyDescent="0.35">
      <c r="A27" s="11" t="s">
        <v>21</v>
      </c>
      <c r="B27" s="9">
        <v>0.98499999999999999</v>
      </c>
      <c r="C27" s="9">
        <v>0.97499999999999998</v>
      </c>
      <c r="D27" s="3"/>
      <c r="E27" s="8">
        <v>1.03</v>
      </c>
      <c r="G27" s="14">
        <f t="shared" si="1"/>
        <v>1.0000000000000009E-2</v>
      </c>
    </row>
    <row r="28" spans="1:7" x14ac:dyDescent="0.35">
      <c r="A28" s="11" t="s">
        <v>22</v>
      </c>
      <c r="B28" s="9">
        <v>1.0900000000000001</v>
      </c>
      <c r="C28" s="9">
        <v>1.075</v>
      </c>
      <c r="D28" s="3"/>
      <c r="E28" s="8">
        <v>1.4</v>
      </c>
      <c r="G28" s="14">
        <f t="shared" si="1"/>
        <v>1.5000000000000124E-2</v>
      </c>
    </row>
    <row r="29" spans="1:7" ht="15.5" x14ac:dyDescent="0.35">
      <c r="A29" s="6" t="s">
        <v>23</v>
      </c>
      <c r="B29" s="9">
        <v>102.797</v>
      </c>
      <c r="C29" s="9">
        <v>103.25</v>
      </c>
      <c r="D29" s="3"/>
      <c r="E29" s="10">
        <v>-0.44</v>
      </c>
      <c r="G29" s="14">
        <f t="shared" si="1"/>
        <v>-0.45300000000000296</v>
      </c>
    </row>
    <row r="30" spans="1:7" ht="15.5" x14ac:dyDescent="0.35">
      <c r="A30" s="6" t="s">
        <v>24</v>
      </c>
      <c r="B30" s="7">
        <v>15473.21</v>
      </c>
      <c r="C30" s="7">
        <v>15372.14</v>
      </c>
      <c r="D30" s="3"/>
      <c r="E30" s="8">
        <v>0.66</v>
      </c>
      <c r="G30" s="14">
        <f t="shared" si="1"/>
        <v>101.06999999999971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42898</v>
      </c>
      <c r="B2" s="3"/>
      <c r="C2" s="2"/>
      <c r="D2" s="3"/>
      <c r="E2" s="2"/>
      <c r="G2" s="14"/>
    </row>
    <row r="3" spans="1:7" ht="15.5" x14ac:dyDescent="0.35">
      <c r="A3" s="6" t="s">
        <v>25</v>
      </c>
      <c r="B3" s="14">
        <v>9564.2800000000007</v>
      </c>
      <c r="C3" s="14">
        <v>9468.2099999999991</v>
      </c>
      <c r="D3" s="3"/>
      <c r="E3" s="22">
        <f>G3/B3</f>
        <v>1.0044666195469133E-2</v>
      </c>
      <c r="G3" s="14">
        <f t="shared" ref="G3:G4" si="0">B3-C3</f>
        <v>96.070000000001528</v>
      </c>
    </row>
    <row r="4" spans="1:7" ht="15.5" x14ac:dyDescent="0.35">
      <c r="A4" s="6" t="s">
        <v>26</v>
      </c>
      <c r="B4" s="14">
        <v>2513.1999999999998</v>
      </c>
      <c r="C4" s="14">
        <v>2532.04</v>
      </c>
      <c r="D4" s="3"/>
      <c r="E4" s="22">
        <f>G4/B4</f>
        <v>-7.4964189081649481E-3</v>
      </c>
      <c r="G4" s="14">
        <f t="shared" si="0"/>
        <v>-18.840000000000146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21235.67</v>
      </c>
      <c r="C7" s="7">
        <v>21271.97</v>
      </c>
      <c r="D7" s="3"/>
      <c r="E7" s="10">
        <v>-0.17</v>
      </c>
      <c r="G7" s="14">
        <f>B7-C7</f>
        <v>-36.30000000000291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1759</v>
      </c>
      <c r="C9" s="7">
        <v>1757.54</v>
      </c>
      <c r="D9" s="3"/>
      <c r="E9" s="8">
        <v>0.08</v>
      </c>
      <c r="G9" s="14">
        <f t="shared" ref="G9:G30" si="1">B9-C9</f>
        <v>1.4600000000000364</v>
      </c>
    </row>
    <row r="10" spans="1:7" ht="15.5" x14ac:dyDescent="0.35">
      <c r="A10" s="6" t="s">
        <v>7</v>
      </c>
      <c r="B10" s="7">
        <v>2429.46</v>
      </c>
      <c r="C10" s="7">
        <v>2431.5700000000002</v>
      </c>
      <c r="D10" s="3"/>
      <c r="E10" s="10">
        <v>-0.09</v>
      </c>
      <c r="G10" s="14">
        <f t="shared" si="1"/>
        <v>-2.1100000000001273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1346.4459999999999</v>
      </c>
      <c r="C12" s="7">
        <v>1347.421</v>
      </c>
      <c r="D12" s="2"/>
      <c r="E12" s="10">
        <v>-7.0000000000000007E-2</v>
      </c>
      <c r="G12" s="14">
        <f t="shared" si="1"/>
        <v>-0.97500000000013642</v>
      </c>
    </row>
    <row r="13" spans="1:7" ht="15.5" x14ac:dyDescent="0.35">
      <c r="A13" s="6" t="s">
        <v>9</v>
      </c>
      <c r="B13" s="7">
        <v>1419.297</v>
      </c>
      <c r="C13" s="7">
        <v>1421.5640000000001</v>
      </c>
      <c r="D13" s="2"/>
      <c r="E13" s="10">
        <v>-0.16</v>
      </c>
      <c r="G13" s="14">
        <f t="shared" si="1"/>
        <v>-2.2670000000000528</v>
      </c>
    </row>
    <row r="14" spans="1:7" ht="15.5" x14ac:dyDescent="0.35">
      <c r="A14" s="6" t="s">
        <v>10</v>
      </c>
      <c r="B14" s="7">
        <v>1440.028</v>
      </c>
      <c r="C14" s="7">
        <v>1441.143</v>
      </c>
      <c r="D14" s="2"/>
      <c r="E14" s="10">
        <v>-0.08</v>
      </c>
      <c r="G14" s="14">
        <f t="shared" si="1"/>
        <v>-1.1150000000000091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11746.49</v>
      </c>
      <c r="C16" s="7">
        <v>11744.39</v>
      </c>
      <c r="D16" s="3"/>
      <c r="E16" s="8">
        <v>0.02</v>
      </c>
      <c r="G16" s="14">
        <f t="shared" si="1"/>
        <v>2.1000000000003638</v>
      </c>
    </row>
    <row r="17" spans="1:7" ht="15.5" x14ac:dyDescent="0.35">
      <c r="A17" s="6" t="s">
        <v>12</v>
      </c>
      <c r="B17" s="7">
        <v>6175.4650000000001</v>
      </c>
      <c r="C17" s="7">
        <v>6207.9179999999997</v>
      </c>
      <c r="D17" s="3"/>
      <c r="E17" s="10">
        <v>-0.52</v>
      </c>
      <c r="G17" s="14">
        <f t="shared" si="1"/>
        <v>-32.45299999999952</v>
      </c>
    </row>
    <row r="18" spans="1:7" ht="15.5" x14ac:dyDescent="0.35">
      <c r="A18" s="6" t="s">
        <v>13</v>
      </c>
      <c r="B18" s="7">
        <v>2586.681</v>
      </c>
      <c r="C18" s="7">
        <v>2580.4499999999998</v>
      </c>
      <c r="D18" s="3"/>
      <c r="E18" s="8">
        <v>0.24</v>
      </c>
      <c r="G18" s="14">
        <f t="shared" si="1"/>
        <v>6.2310000000002219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1919.11</v>
      </c>
      <c r="C20" s="7">
        <v>1922.79</v>
      </c>
      <c r="D20" s="2"/>
      <c r="E20" s="10">
        <v>-0.19</v>
      </c>
      <c r="G20" s="14">
        <f t="shared" si="1"/>
        <v>-3.6800000000000637</v>
      </c>
    </row>
    <row r="21" spans="1:7" ht="15.5" x14ac:dyDescent="0.35">
      <c r="A21" s="6" t="s">
        <v>15</v>
      </c>
      <c r="B21" s="7">
        <v>1886.05</v>
      </c>
      <c r="C21" s="7">
        <v>1892.97</v>
      </c>
      <c r="D21" s="2"/>
      <c r="E21" s="10">
        <v>-0.37</v>
      </c>
      <c r="G21" s="14">
        <f t="shared" si="1"/>
        <v>-6.9200000000000728</v>
      </c>
    </row>
    <row r="22" spans="1:7" ht="31" x14ac:dyDescent="0.35">
      <c r="A22" s="6" t="s">
        <v>16</v>
      </c>
      <c r="B22" s="7">
        <v>1007.69</v>
      </c>
      <c r="C22" s="7">
        <v>1018.19</v>
      </c>
      <c r="D22" s="2"/>
      <c r="E22" s="10">
        <v>-1.03</v>
      </c>
      <c r="G22" s="14">
        <f t="shared" si="1"/>
        <v>-10.5</v>
      </c>
    </row>
    <row r="23" spans="1:7" ht="15.5" x14ac:dyDescent="0.35">
      <c r="A23" s="6" t="s">
        <v>17</v>
      </c>
      <c r="B23" s="7">
        <v>1913</v>
      </c>
      <c r="C23" s="7">
        <v>1911.451</v>
      </c>
      <c r="D23" s="3"/>
      <c r="E23" s="8">
        <v>0.08</v>
      </c>
      <c r="G23" s="14">
        <f t="shared" si="1"/>
        <v>1.5489999999999782</v>
      </c>
    </row>
    <row r="24" spans="1:7" ht="15.5" x14ac:dyDescent="0.35">
      <c r="A24" s="6" t="s">
        <v>18</v>
      </c>
      <c r="B24" s="9">
        <v>101.453</v>
      </c>
      <c r="C24" s="9">
        <v>101.51600000000001</v>
      </c>
      <c r="D24" s="3"/>
      <c r="E24" s="10">
        <v>-0.06</v>
      </c>
      <c r="G24" s="14">
        <f t="shared" si="1"/>
        <v>-6.3000000000002387E-2</v>
      </c>
    </row>
    <row r="25" spans="1:7" ht="15.5" x14ac:dyDescent="0.35">
      <c r="A25" s="6" t="s">
        <v>19</v>
      </c>
      <c r="B25" s="9">
        <v>99.875</v>
      </c>
      <c r="C25" s="9">
        <v>99.906000000000006</v>
      </c>
      <c r="D25" s="3"/>
      <c r="E25" s="10">
        <v>-0.03</v>
      </c>
      <c r="G25" s="14">
        <f t="shared" si="1"/>
        <v>-3.1000000000005912E-2</v>
      </c>
    </row>
    <row r="26" spans="1:7" ht="15.5" x14ac:dyDescent="0.35">
      <c r="A26" s="6" t="s">
        <v>20</v>
      </c>
      <c r="B26" s="9">
        <v>99.805000000000007</v>
      </c>
      <c r="C26" s="9">
        <v>99.828000000000003</v>
      </c>
      <c r="D26" s="3"/>
      <c r="E26" s="10">
        <v>-0.02</v>
      </c>
      <c r="G26" s="14">
        <f t="shared" si="1"/>
        <v>-2.2999999999996135E-2</v>
      </c>
    </row>
    <row r="27" spans="1:7" x14ac:dyDescent="0.35">
      <c r="A27" s="11" t="s">
        <v>21</v>
      </c>
      <c r="B27" s="9">
        <v>0.98499999999999999</v>
      </c>
      <c r="C27" s="9">
        <v>0.98499999999999999</v>
      </c>
      <c r="D27" s="3"/>
      <c r="E27" s="8">
        <v>0</v>
      </c>
      <c r="G27" s="14">
        <f t="shared" si="1"/>
        <v>0</v>
      </c>
    </row>
    <row r="28" spans="1:7" x14ac:dyDescent="0.35">
      <c r="A28" s="11" t="s">
        <v>22</v>
      </c>
      <c r="B28" s="9">
        <v>1.085</v>
      </c>
      <c r="C28" s="9">
        <v>1.0900000000000001</v>
      </c>
      <c r="D28" s="3"/>
      <c r="E28" s="10">
        <v>-0.46</v>
      </c>
      <c r="G28" s="14">
        <f t="shared" si="1"/>
        <v>-5.0000000000001155E-3</v>
      </c>
    </row>
    <row r="29" spans="1:7" ht="15.5" x14ac:dyDescent="0.35">
      <c r="A29" s="6" t="s">
        <v>23</v>
      </c>
      <c r="B29" s="9">
        <v>102.64100000000001</v>
      </c>
      <c r="C29" s="9">
        <v>102.797</v>
      </c>
      <c r="D29" s="3"/>
      <c r="E29" s="10">
        <v>-0.15</v>
      </c>
      <c r="G29" s="14">
        <f t="shared" si="1"/>
        <v>-0.1559999999999917</v>
      </c>
    </row>
    <row r="30" spans="1:7" ht="15.5" x14ac:dyDescent="0.35">
      <c r="A30" s="6" t="s">
        <v>24</v>
      </c>
      <c r="B30" s="7">
        <v>15383.8</v>
      </c>
      <c r="C30" s="7">
        <v>15473.21</v>
      </c>
      <c r="D30" s="3"/>
      <c r="E30" s="10">
        <v>-0.57999999999999996</v>
      </c>
      <c r="G30" s="14">
        <f t="shared" si="1"/>
        <v>-89.409999999999854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42899</v>
      </c>
      <c r="B2" s="3"/>
      <c r="C2" s="2"/>
      <c r="D2" s="3"/>
      <c r="E2" s="2"/>
      <c r="G2" s="14"/>
    </row>
    <row r="3" spans="1:7" ht="15.5" x14ac:dyDescent="0.35">
      <c r="A3" s="6" t="s">
        <v>25</v>
      </c>
      <c r="B3" s="14">
        <v>9583.7800000000007</v>
      </c>
      <c r="C3" s="14">
        <v>9564.2800000000007</v>
      </c>
      <c r="D3" s="3"/>
      <c r="E3" s="22">
        <f>G3/B3</f>
        <v>2.0346877745524208E-3</v>
      </c>
      <c r="G3" s="14">
        <f t="shared" ref="G3:G4" si="0">B3-C3</f>
        <v>19.5</v>
      </c>
    </row>
    <row r="4" spans="1:7" ht="15.5" x14ac:dyDescent="0.35">
      <c r="A4" s="6" t="s">
        <v>26</v>
      </c>
      <c r="B4" s="14">
        <v>2523.42</v>
      </c>
      <c r="C4" s="14">
        <v>2513.1999999999998</v>
      </c>
      <c r="D4" s="3"/>
      <c r="E4" s="22">
        <f>G4/B4</f>
        <v>4.050059046849218E-3</v>
      </c>
      <c r="G4" s="14">
        <f t="shared" si="0"/>
        <v>10.220000000000255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21328.47</v>
      </c>
      <c r="C7" s="7">
        <v>21235.67</v>
      </c>
      <c r="D7" s="3"/>
      <c r="E7" s="8">
        <v>0.44</v>
      </c>
      <c r="G7" s="14">
        <f>B7-C7</f>
        <v>92.80000000000291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1769.39</v>
      </c>
      <c r="C9" s="7">
        <v>1759</v>
      </c>
      <c r="D9" s="3"/>
      <c r="E9" s="8">
        <v>0.59</v>
      </c>
      <c r="G9" s="14">
        <f t="shared" ref="G9:G30" si="1">B9-C9</f>
        <v>10.3900000000001</v>
      </c>
    </row>
    <row r="10" spans="1:7" ht="15.5" x14ac:dyDescent="0.35">
      <c r="A10" s="6" t="s">
        <v>7</v>
      </c>
      <c r="B10" s="7">
        <v>2440.33</v>
      </c>
      <c r="C10" s="7">
        <v>2429.46</v>
      </c>
      <c r="D10" s="3"/>
      <c r="E10" s="8">
        <v>0.45</v>
      </c>
      <c r="G10" s="14">
        <f t="shared" si="1"/>
        <v>10.869999999999891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1352.9970000000001</v>
      </c>
      <c r="C12" s="7">
        <v>1346.4459999999999</v>
      </c>
      <c r="D12" s="2"/>
      <c r="E12" s="8">
        <v>0.49</v>
      </c>
      <c r="G12" s="14">
        <f t="shared" si="1"/>
        <v>6.5510000000001583</v>
      </c>
    </row>
    <row r="13" spans="1:7" ht="15.5" x14ac:dyDescent="0.35">
      <c r="A13" s="6" t="s">
        <v>9</v>
      </c>
      <c r="B13" s="7">
        <v>1426.05</v>
      </c>
      <c r="C13" s="7">
        <v>1419.297</v>
      </c>
      <c r="D13" s="2"/>
      <c r="E13" s="8">
        <v>0.48</v>
      </c>
      <c r="G13" s="14">
        <f t="shared" si="1"/>
        <v>6.7529999999999291</v>
      </c>
    </row>
    <row r="14" spans="1:7" ht="15.5" x14ac:dyDescent="0.35">
      <c r="A14" s="6" t="s">
        <v>10</v>
      </c>
      <c r="B14" s="7">
        <v>1447.0170000000001</v>
      </c>
      <c r="C14" s="7">
        <v>1440.028</v>
      </c>
      <c r="D14" s="2"/>
      <c r="E14" s="8">
        <v>0.49</v>
      </c>
      <c r="G14" s="14">
        <f t="shared" si="1"/>
        <v>6.9890000000000327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11796.81</v>
      </c>
      <c r="C16" s="7">
        <v>11746.49</v>
      </c>
      <c r="D16" s="3"/>
      <c r="E16" s="8">
        <v>0.43</v>
      </c>
      <c r="G16" s="14">
        <f t="shared" si="1"/>
        <v>50.319999999999709</v>
      </c>
    </row>
    <row r="17" spans="1:7" ht="15.5" x14ac:dyDescent="0.35">
      <c r="A17" s="6" t="s">
        <v>12</v>
      </c>
      <c r="B17" s="7">
        <v>6220.3689999999997</v>
      </c>
      <c r="C17" s="7">
        <v>6175.4650000000001</v>
      </c>
      <c r="D17" s="3"/>
      <c r="E17" s="8">
        <v>0.73</v>
      </c>
      <c r="G17" s="14">
        <f t="shared" si="1"/>
        <v>44.903999999999542</v>
      </c>
    </row>
    <row r="18" spans="1:7" ht="15.5" x14ac:dyDescent="0.35">
      <c r="A18" s="6" t="s">
        <v>13</v>
      </c>
      <c r="B18" s="7">
        <v>2586.962</v>
      </c>
      <c r="C18" s="7">
        <v>2586.681</v>
      </c>
      <c r="D18" s="3"/>
      <c r="E18" s="8">
        <v>0.01</v>
      </c>
      <c r="G18" s="14">
        <f t="shared" si="1"/>
        <v>0.28099999999994907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1928.74</v>
      </c>
      <c r="C20" s="7">
        <v>1919.11</v>
      </c>
      <c r="D20" s="2"/>
      <c r="E20" s="8">
        <v>0.5</v>
      </c>
      <c r="G20" s="14">
        <f t="shared" si="1"/>
        <v>9.6300000000001091</v>
      </c>
    </row>
    <row r="21" spans="1:7" ht="15.5" x14ac:dyDescent="0.35">
      <c r="A21" s="6" t="s">
        <v>15</v>
      </c>
      <c r="B21" s="7">
        <v>1895.77</v>
      </c>
      <c r="C21" s="7">
        <v>1886.05</v>
      </c>
      <c r="D21" s="2"/>
      <c r="E21" s="8">
        <v>0.52</v>
      </c>
      <c r="G21" s="14">
        <f t="shared" si="1"/>
        <v>9.7200000000000273</v>
      </c>
    </row>
    <row r="22" spans="1:7" ht="31" x14ac:dyDescent="0.35">
      <c r="A22" s="6" t="s">
        <v>16</v>
      </c>
      <c r="B22" s="7">
        <v>1009.78</v>
      </c>
      <c r="C22" s="7">
        <v>1007.69</v>
      </c>
      <c r="D22" s="2"/>
      <c r="E22" s="8">
        <v>0.21</v>
      </c>
      <c r="G22" s="14">
        <f t="shared" si="1"/>
        <v>2.0899999999999181</v>
      </c>
    </row>
    <row r="23" spans="1:7" ht="15.5" x14ac:dyDescent="0.35">
      <c r="A23" s="6" t="s">
        <v>17</v>
      </c>
      <c r="B23" s="7">
        <v>1926.26</v>
      </c>
      <c r="C23" s="7">
        <v>1913.0029999999999</v>
      </c>
      <c r="D23" s="3"/>
      <c r="E23" s="8">
        <v>0.69</v>
      </c>
      <c r="G23" s="14">
        <f t="shared" si="1"/>
        <v>13.257000000000062</v>
      </c>
    </row>
    <row r="24" spans="1:7" ht="15.5" x14ac:dyDescent="0.35">
      <c r="A24" s="6" t="s">
        <v>18</v>
      </c>
      <c r="B24" s="9">
        <v>101.48399999999999</v>
      </c>
      <c r="C24" s="9">
        <v>101.453</v>
      </c>
      <c r="D24" s="3"/>
      <c r="E24" s="8">
        <v>0.03</v>
      </c>
      <c r="G24" s="14">
        <f t="shared" si="1"/>
        <v>3.0999999999991701E-2</v>
      </c>
    </row>
    <row r="25" spans="1:7" ht="15.5" x14ac:dyDescent="0.35">
      <c r="A25" s="6" t="s">
        <v>19</v>
      </c>
      <c r="B25" s="9">
        <v>99.858999999999995</v>
      </c>
      <c r="C25" s="9">
        <v>99.875</v>
      </c>
      <c r="D25" s="3"/>
      <c r="E25" s="10">
        <v>-0.02</v>
      </c>
      <c r="G25" s="14">
        <f t="shared" si="1"/>
        <v>-1.6000000000005343E-2</v>
      </c>
    </row>
    <row r="26" spans="1:7" ht="15.5" x14ac:dyDescent="0.35">
      <c r="A26" s="6" t="s">
        <v>20</v>
      </c>
      <c r="B26" s="9">
        <v>99.781000000000006</v>
      </c>
      <c r="C26" s="9">
        <v>99.805000000000007</v>
      </c>
      <c r="D26" s="3"/>
      <c r="E26" s="10">
        <v>-0.02</v>
      </c>
      <c r="G26" s="14">
        <f t="shared" si="1"/>
        <v>-2.4000000000000909E-2</v>
      </c>
    </row>
    <row r="27" spans="1:7" x14ac:dyDescent="0.35">
      <c r="A27" s="11" t="s">
        <v>21</v>
      </c>
      <c r="B27" s="9">
        <v>0.97499999999999998</v>
      </c>
      <c r="C27" s="9">
        <v>0.98499999999999999</v>
      </c>
      <c r="D27" s="3"/>
      <c r="E27" s="10">
        <v>-1.02</v>
      </c>
      <c r="G27" s="14">
        <f t="shared" si="1"/>
        <v>-1.0000000000000009E-2</v>
      </c>
    </row>
    <row r="28" spans="1:7" x14ac:dyDescent="0.35">
      <c r="A28" s="11" t="s">
        <v>22</v>
      </c>
      <c r="B28" s="9">
        <v>1.095</v>
      </c>
      <c r="C28" s="9">
        <v>1.085</v>
      </c>
      <c r="D28" s="3"/>
      <c r="E28" s="8">
        <v>0.92</v>
      </c>
      <c r="G28" s="14">
        <f t="shared" si="1"/>
        <v>1.0000000000000009E-2</v>
      </c>
    </row>
    <row r="29" spans="1:7" ht="15.5" x14ac:dyDescent="0.35">
      <c r="A29" s="6" t="s">
        <v>23</v>
      </c>
      <c r="B29" s="9">
        <v>102.703</v>
      </c>
      <c r="C29" s="9">
        <v>102.64100000000001</v>
      </c>
      <c r="D29" s="3"/>
      <c r="E29" s="8">
        <v>0.06</v>
      </c>
      <c r="G29" s="14">
        <f t="shared" si="1"/>
        <v>6.1999999999997613E-2</v>
      </c>
    </row>
    <row r="30" spans="1:7" ht="15.5" x14ac:dyDescent="0.35">
      <c r="A30" s="6" t="s">
        <v>24</v>
      </c>
      <c r="B30" s="7">
        <v>15379.75</v>
      </c>
      <c r="C30" s="7">
        <v>15383.8</v>
      </c>
      <c r="D30" s="3"/>
      <c r="E30" s="10">
        <v>-0.03</v>
      </c>
      <c r="G30" s="14">
        <f t="shared" si="1"/>
        <v>-4.0499999999992724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9" bestFit="1" customWidth="1"/>
    <col min="9" max="9" width="11.1796875" bestFit="1" customWidth="1"/>
    <col min="10" max="10" width="9.81640625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42900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9604.3700000000008</v>
      </c>
      <c r="C3" s="24">
        <v>9583.7800000000007</v>
      </c>
      <c r="D3" s="25"/>
      <c r="E3" s="26">
        <f>G3/B3</f>
        <v>2.1438157838567385E-3</v>
      </c>
      <c r="F3" s="27"/>
      <c r="G3" s="24">
        <f t="shared" ref="G3:G4" si="0">B3-C3</f>
        <v>20.590000000000146</v>
      </c>
    </row>
    <row r="4" spans="1:7" ht="15.5" x14ac:dyDescent="0.35">
      <c r="A4" s="23" t="s">
        <v>26</v>
      </c>
      <c r="B4" s="24">
        <v>2524.9499999999998</v>
      </c>
      <c r="C4" s="24">
        <v>2523.42</v>
      </c>
      <c r="D4" s="25"/>
      <c r="E4" s="26">
        <f>G4/B4</f>
        <v>6.0595259312055505E-4</v>
      </c>
      <c r="F4" s="27"/>
      <c r="G4" s="24">
        <f t="shared" si="0"/>
        <v>1.5299999999997453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21374.560000000001</v>
      </c>
      <c r="C7" s="7">
        <v>21328.47</v>
      </c>
      <c r="D7" s="3"/>
      <c r="E7" s="8">
        <v>0.22</v>
      </c>
      <c r="G7" s="14">
        <f>B7-C7</f>
        <v>46.090000000000146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1761.67</v>
      </c>
      <c r="C9" s="7">
        <v>1769.39</v>
      </c>
      <c r="D9" s="3"/>
      <c r="E9" s="10">
        <v>-0.44</v>
      </c>
      <c r="G9" s="14">
        <f t="shared" ref="G9:G30" si="1">B9-C9</f>
        <v>-7.7200000000000273</v>
      </c>
    </row>
    <row r="10" spans="1:7" ht="15.5" x14ac:dyDescent="0.35">
      <c r="A10" s="6" t="s">
        <v>7</v>
      </c>
      <c r="B10" s="7">
        <v>2437.9</v>
      </c>
      <c r="C10" s="7">
        <v>2440.33</v>
      </c>
      <c r="D10" s="3"/>
      <c r="E10" s="10">
        <v>-0.1</v>
      </c>
      <c r="G10" s="14">
        <f t="shared" si="1"/>
        <v>-2.4299999999998363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1351.337</v>
      </c>
      <c r="C12" s="7">
        <v>1352.9970000000001</v>
      </c>
      <c r="D12" s="2"/>
      <c r="E12" s="10">
        <v>-0.12</v>
      </c>
      <c r="G12" s="14">
        <f t="shared" si="1"/>
        <v>-1.6600000000000819</v>
      </c>
    </row>
    <row r="13" spans="1:7" ht="15.5" x14ac:dyDescent="0.35">
      <c r="A13" s="6" t="s">
        <v>9</v>
      </c>
      <c r="B13" s="7">
        <v>1417.6579999999999</v>
      </c>
      <c r="C13" s="7">
        <v>1426.05</v>
      </c>
      <c r="D13" s="2"/>
      <c r="E13" s="10">
        <v>-0.59</v>
      </c>
      <c r="G13" s="14">
        <f t="shared" si="1"/>
        <v>-8.3920000000000528</v>
      </c>
    </row>
    <row r="14" spans="1:7" ht="15.5" x14ac:dyDescent="0.35">
      <c r="A14" s="6" t="s">
        <v>10</v>
      </c>
      <c r="B14" s="7">
        <v>1444.7239999999999</v>
      </c>
      <c r="C14" s="7">
        <v>1447.0170000000001</v>
      </c>
      <c r="D14" s="2"/>
      <c r="E14" s="10">
        <v>-0.16</v>
      </c>
      <c r="G14" s="14">
        <f t="shared" si="1"/>
        <v>-2.2930000000001201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11779.68</v>
      </c>
      <c r="C16" s="7">
        <v>11796.81</v>
      </c>
      <c r="D16" s="3"/>
      <c r="E16" s="10">
        <v>-0.15</v>
      </c>
      <c r="G16" s="14">
        <f t="shared" si="1"/>
        <v>-17.1299999999992</v>
      </c>
    </row>
    <row r="17" spans="1:7" ht="15.5" x14ac:dyDescent="0.35">
      <c r="A17" s="6" t="s">
        <v>12</v>
      </c>
      <c r="B17" s="7">
        <v>6194.8919999999998</v>
      </c>
      <c r="C17" s="7">
        <v>6220.3689999999997</v>
      </c>
      <c r="D17" s="3"/>
      <c r="E17" s="10">
        <v>-0.41</v>
      </c>
      <c r="G17" s="14">
        <f t="shared" si="1"/>
        <v>-25.476999999999862</v>
      </c>
    </row>
    <row r="18" spans="1:7" ht="15.5" x14ac:dyDescent="0.35">
      <c r="A18" s="6" t="s">
        <v>13</v>
      </c>
      <c r="B18" s="7">
        <v>2594.7130000000002</v>
      </c>
      <c r="C18" s="7">
        <v>2586.962</v>
      </c>
      <c r="D18" s="3"/>
      <c r="E18" s="8">
        <v>0.3</v>
      </c>
      <c r="G18" s="14">
        <f t="shared" si="1"/>
        <v>7.7510000000002037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1927.19</v>
      </c>
      <c r="C20" s="7">
        <v>1928.74</v>
      </c>
      <c r="D20" s="2"/>
      <c r="E20" s="10">
        <v>-0.08</v>
      </c>
      <c r="G20" s="14">
        <f t="shared" si="1"/>
        <v>-1.5499999999999545</v>
      </c>
    </row>
    <row r="21" spans="1:7" ht="15.5" x14ac:dyDescent="0.35">
      <c r="A21" s="6" t="s">
        <v>15</v>
      </c>
      <c r="B21" s="7">
        <v>1897.21</v>
      </c>
      <c r="C21" s="7">
        <v>1895.77</v>
      </c>
      <c r="D21" s="2"/>
      <c r="E21" s="8">
        <v>0.08</v>
      </c>
      <c r="G21" s="14">
        <f t="shared" si="1"/>
        <v>1.4400000000000546</v>
      </c>
    </row>
    <row r="22" spans="1:7" ht="31" x14ac:dyDescent="0.35">
      <c r="A22" s="6" t="s">
        <v>16</v>
      </c>
      <c r="B22" s="7">
        <v>1013.9</v>
      </c>
      <c r="C22" s="7">
        <v>1009.78</v>
      </c>
      <c r="D22" s="2"/>
      <c r="E22" s="8">
        <v>0.41</v>
      </c>
      <c r="G22" s="14">
        <f t="shared" si="1"/>
        <v>4.1200000000000045</v>
      </c>
    </row>
    <row r="23" spans="1:7" ht="15.5" x14ac:dyDescent="0.35">
      <c r="A23" s="6" t="s">
        <v>17</v>
      </c>
      <c r="B23" s="7">
        <v>1920.55</v>
      </c>
      <c r="C23" s="7">
        <v>1926.2639999999999</v>
      </c>
      <c r="D23" s="3"/>
      <c r="E23" s="10">
        <v>-0.3</v>
      </c>
      <c r="G23" s="14">
        <f t="shared" si="1"/>
        <v>-5.7139999999999418</v>
      </c>
    </row>
    <row r="24" spans="1:7" ht="15.5" x14ac:dyDescent="0.35">
      <c r="A24" s="6" t="s">
        <v>18</v>
      </c>
      <c r="B24" s="9">
        <v>102.188</v>
      </c>
      <c r="C24" s="9">
        <v>101.48399999999999</v>
      </c>
      <c r="D24" s="3"/>
      <c r="E24" s="8">
        <v>0.69</v>
      </c>
      <c r="G24" s="14">
        <f t="shared" si="1"/>
        <v>0.70400000000000773</v>
      </c>
    </row>
    <row r="25" spans="1:7" ht="15.5" x14ac:dyDescent="0.35">
      <c r="A25" s="6" t="s">
        <v>19</v>
      </c>
      <c r="B25" s="9">
        <v>100.148</v>
      </c>
      <c r="C25" s="9">
        <v>99.858999999999995</v>
      </c>
      <c r="D25" s="3"/>
      <c r="E25" s="8">
        <v>0.28999999999999998</v>
      </c>
      <c r="G25" s="14">
        <f t="shared" si="1"/>
        <v>0.28900000000000148</v>
      </c>
    </row>
    <row r="26" spans="1:7" ht="15.5" x14ac:dyDescent="0.35">
      <c r="A26" s="6" t="s">
        <v>20</v>
      </c>
      <c r="B26" s="9">
        <v>99.835999999999999</v>
      </c>
      <c r="C26" s="9">
        <v>99.781000000000006</v>
      </c>
      <c r="D26" s="3"/>
      <c r="E26" s="8">
        <v>0.06</v>
      </c>
      <c r="G26" s="14">
        <f t="shared" si="1"/>
        <v>5.499999999999261E-2</v>
      </c>
    </row>
    <row r="27" spans="1:7" x14ac:dyDescent="0.35">
      <c r="A27" s="11" t="s">
        <v>21</v>
      </c>
      <c r="B27" s="9">
        <v>0.99</v>
      </c>
      <c r="C27" s="9">
        <v>0.97499999999999998</v>
      </c>
      <c r="D27" s="3"/>
      <c r="E27" s="8">
        <v>1.54</v>
      </c>
      <c r="G27" s="14">
        <f t="shared" si="1"/>
        <v>1.5000000000000013E-2</v>
      </c>
    </row>
    <row r="28" spans="1:7" x14ac:dyDescent="0.35">
      <c r="A28" s="11" t="s">
        <v>22</v>
      </c>
      <c r="B28" s="9">
        <v>1.0900000000000001</v>
      </c>
      <c r="C28" s="9">
        <v>1.095</v>
      </c>
      <c r="D28" s="3"/>
      <c r="E28" s="10">
        <v>-0.46</v>
      </c>
      <c r="G28" s="14">
        <f t="shared" si="1"/>
        <v>-4.9999999999998934E-3</v>
      </c>
    </row>
    <row r="29" spans="1:7" ht="15.5" x14ac:dyDescent="0.35">
      <c r="A29" s="6" t="s">
        <v>23</v>
      </c>
      <c r="B29" s="9">
        <v>104.59399999999999</v>
      </c>
      <c r="C29" s="9">
        <v>102.703</v>
      </c>
      <c r="D29" s="3"/>
      <c r="E29" s="8">
        <v>1.84</v>
      </c>
      <c r="G29" s="14">
        <f t="shared" si="1"/>
        <v>1.8909999999999911</v>
      </c>
    </row>
    <row r="30" spans="1:7" ht="15.5" x14ac:dyDescent="0.35">
      <c r="A30" s="6" t="s">
        <v>24</v>
      </c>
      <c r="B30" s="7">
        <v>15170.13</v>
      </c>
      <c r="C30" s="7">
        <v>15379.75</v>
      </c>
      <c r="D30" s="3"/>
      <c r="E30" s="10">
        <v>-1.36</v>
      </c>
      <c r="G30" s="14">
        <f t="shared" si="1"/>
        <v>-209.6200000000008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7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9" bestFit="1" customWidth="1"/>
    <col min="9" max="9" width="11.1796875" bestFit="1" customWidth="1"/>
    <col min="10" max="10" width="9.81640625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42901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9655.69</v>
      </c>
      <c r="C3" s="24">
        <v>9604.3700000000008</v>
      </c>
      <c r="D3" s="25"/>
      <c r="E3" s="26">
        <f>G3/B3</f>
        <v>5.3150007922789259E-3</v>
      </c>
      <c r="F3" s="27"/>
      <c r="G3" s="24">
        <f t="shared" ref="G3:G4" si="0">B3-C3</f>
        <v>51.319999999999709</v>
      </c>
    </row>
    <row r="4" spans="1:7" ht="15.5" x14ac:dyDescent="0.35">
      <c r="A4" s="23" t="s">
        <v>26</v>
      </c>
      <c r="B4" s="24">
        <v>2490.29</v>
      </c>
      <c r="C4" s="24">
        <v>2524.9499999999998</v>
      </c>
      <c r="D4" s="25"/>
      <c r="E4" s="26">
        <f>G4/B4</f>
        <v>-1.3918057736247528E-2</v>
      </c>
      <c r="F4" s="27"/>
      <c r="G4" s="24">
        <f t="shared" si="0"/>
        <v>-34.659999999999854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21359.9</v>
      </c>
      <c r="C7" s="7">
        <v>21374.560000000001</v>
      </c>
      <c r="D7" s="3"/>
      <c r="E7" s="10">
        <v>-7.0000000000000007E-2</v>
      </c>
      <c r="G7" s="14">
        <f>B7-C7</f>
        <v>-14.659999999999854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1753.3</v>
      </c>
      <c r="C9" s="7">
        <v>1761.67</v>
      </c>
      <c r="D9" s="3"/>
      <c r="E9" s="10">
        <v>-0.48</v>
      </c>
      <c r="G9" s="14">
        <f t="shared" ref="G9:G30" si="1">B9-C9</f>
        <v>-8.3700000000001182</v>
      </c>
    </row>
    <row r="10" spans="1:7" ht="15.5" x14ac:dyDescent="0.35">
      <c r="A10" s="6" t="s">
        <v>7</v>
      </c>
      <c r="B10" s="7">
        <v>2432.52</v>
      </c>
      <c r="C10" s="7">
        <v>2437.9</v>
      </c>
      <c r="D10" s="3"/>
      <c r="E10" s="10">
        <v>-0.22</v>
      </c>
      <c r="G10" s="14">
        <f t="shared" si="1"/>
        <v>-5.3800000000001091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1348.1369999999999</v>
      </c>
      <c r="C12" s="7">
        <v>1351.337</v>
      </c>
      <c r="D12" s="2"/>
      <c r="E12" s="10">
        <v>-0.24</v>
      </c>
      <c r="G12" s="14">
        <f t="shared" si="1"/>
        <v>-3.2000000000000455</v>
      </c>
    </row>
    <row r="13" spans="1:7" ht="15.5" x14ac:dyDescent="0.35">
      <c r="A13" s="6" t="s">
        <v>9</v>
      </c>
      <c r="B13" s="7">
        <v>1410.2090000000001</v>
      </c>
      <c r="C13" s="7">
        <v>1417.6579999999999</v>
      </c>
      <c r="D13" s="2"/>
      <c r="E13" s="10">
        <v>-0.53</v>
      </c>
      <c r="G13" s="14">
        <f t="shared" si="1"/>
        <v>-7.4489999999998417</v>
      </c>
    </row>
    <row r="14" spans="1:7" ht="15.5" x14ac:dyDescent="0.35">
      <c r="A14" s="6" t="s">
        <v>10</v>
      </c>
      <c r="B14" s="7">
        <v>1440.9860000000001</v>
      </c>
      <c r="C14" s="7">
        <v>1444.7239999999999</v>
      </c>
      <c r="D14" s="2"/>
      <c r="E14" s="10">
        <v>-0.26</v>
      </c>
      <c r="G14" s="14">
        <f t="shared" si="1"/>
        <v>-3.737999999999829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11740.38</v>
      </c>
      <c r="C16" s="7">
        <v>11779.68</v>
      </c>
      <c r="D16" s="3"/>
      <c r="E16" s="10">
        <v>-0.33</v>
      </c>
      <c r="G16" s="14">
        <f t="shared" si="1"/>
        <v>-39.300000000001091</v>
      </c>
    </row>
    <row r="17" spans="1:7" ht="15.5" x14ac:dyDescent="0.35">
      <c r="A17" s="6" t="s">
        <v>12</v>
      </c>
      <c r="B17" s="7">
        <v>6165.5010000000002</v>
      </c>
      <c r="C17" s="7">
        <v>6194.8919999999998</v>
      </c>
      <c r="D17" s="3"/>
      <c r="E17" s="10">
        <v>-0.47</v>
      </c>
      <c r="G17" s="14">
        <f t="shared" si="1"/>
        <v>-29.390999999999622</v>
      </c>
    </row>
    <row r="18" spans="1:7" ht="15.5" x14ac:dyDescent="0.35">
      <c r="A18" s="6" t="s">
        <v>13</v>
      </c>
      <c r="B18" s="7">
        <v>2586.81</v>
      </c>
      <c r="C18" s="7">
        <v>2594.7130000000002</v>
      </c>
      <c r="D18" s="3"/>
      <c r="E18" s="10">
        <v>-0.3</v>
      </c>
      <c r="G18" s="14">
        <f t="shared" si="1"/>
        <v>-7.9030000000002474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1916.12</v>
      </c>
      <c r="C20" s="7">
        <v>1927.19</v>
      </c>
      <c r="D20" s="2"/>
      <c r="E20" s="10">
        <v>-0.56999999999999995</v>
      </c>
      <c r="G20" s="14">
        <f t="shared" si="1"/>
        <v>-11.070000000000164</v>
      </c>
    </row>
    <row r="21" spans="1:7" ht="15.5" x14ac:dyDescent="0.35">
      <c r="A21" s="6" t="s">
        <v>15</v>
      </c>
      <c r="B21" s="7">
        <v>1875.62</v>
      </c>
      <c r="C21" s="7">
        <v>1897.21</v>
      </c>
      <c r="D21" s="2"/>
      <c r="E21" s="10">
        <v>-1.1399999999999999</v>
      </c>
      <c r="G21" s="14">
        <f t="shared" si="1"/>
        <v>-21.590000000000146</v>
      </c>
    </row>
    <row r="22" spans="1:7" ht="31" x14ac:dyDescent="0.35">
      <c r="A22" s="6" t="s">
        <v>16</v>
      </c>
      <c r="B22" s="7">
        <v>1002.21</v>
      </c>
      <c r="C22" s="7">
        <v>1013.9</v>
      </c>
      <c r="D22" s="2"/>
      <c r="E22" s="10">
        <v>-1.1499999999999999</v>
      </c>
      <c r="G22" s="14">
        <f t="shared" si="1"/>
        <v>-11.689999999999941</v>
      </c>
    </row>
    <row r="23" spans="1:7" ht="15.5" x14ac:dyDescent="0.35">
      <c r="A23" s="6" t="s">
        <v>17</v>
      </c>
      <c r="B23" s="7">
        <v>1916.1</v>
      </c>
      <c r="C23" s="7">
        <v>1920.5519999999999</v>
      </c>
      <c r="D23" s="3"/>
      <c r="E23" s="10">
        <v>-0.23</v>
      </c>
      <c r="G23" s="14">
        <f t="shared" si="1"/>
        <v>-4.4519999999999982</v>
      </c>
    </row>
    <row r="24" spans="1:7" ht="15.5" x14ac:dyDescent="0.35">
      <c r="A24" s="6" t="s">
        <v>18</v>
      </c>
      <c r="B24" s="9">
        <v>101.90600000000001</v>
      </c>
      <c r="C24" s="9">
        <v>102.188</v>
      </c>
      <c r="D24" s="3"/>
      <c r="E24" s="10">
        <v>-0.28000000000000003</v>
      </c>
      <c r="G24" s="14">
        <f t="shared" si="1"/>
        <v>-0.28199999999999648</v>
      </c>
    </row>
    <row r="25" spans="1:7" ht="15.5" x14ac:dyDescent="0.35">
      <c r="A25" s="6" t="s">
        <v>19</v>
      </c>
      <c r="B25" s="9">
        <v>99.960999999999999</v>
      </c>
      <c r="C25" s="9">
        <v>100.148</v>
      </c>
      <c r="D25" s="3"/>
      <c r="E25" s="10">
        <v>-0.19</v>
      </c>
      <c r="G25" s="14">
        <f t="shared" si="1"/>
        <v>-0.18699999999999761</v>
      </c>
    </row>
    <row r="26" spans="1:7" ht="15.5" x14ac:dyDescent="0.35">
      <c r="A26" s="6" t="s">
        <v>20</v>
      </c>
      <c r="B26" s="9">
        <v>99.805000000000007</v>
      </c>
      <c r="C26" s="9">
        <v>99.835999999999999</v>
      </c>
      <c r="D26" s="3"/>
      <c r="E26" s="10">
        <v>-0.03</v>
      </c>
      <c r="G26" s="14">
        <f t="shared" si="1"/>
        <v>-3.0999999999991701E-2</v>
      </c>
    </row>
    <row r="27" spans="1:7" x14ac:dyDescent="0.35">
      <c r="A27" s="11" t="s">
        <v>21</v>
      </c>
      <c r="B27" s="9">
        <v>0.99</v>
      </c>
      <c r="C27" s="9">
        <v>0.99</v>
      </c>
      <c r="D27" s="3"/>
      <c r="E27" s="8">
        <v>0</v>
      </c>
      <c r="G27" s="14">
        <f t="shared" si="1"/>
        <v>0</v>
      </c>
    </row>
    <row r="28" spans="1:7" x14ac:dyDescent="0.35">
      <c r="A28" s="11" t="s">
        <v>22</v>
      </c>
      <c r="B28" s="9">
        <v>1.1000000000000001</v>
      </c>
      <c r="C28" s="9">
        <v>1.0900000000000001</v>
      </c>
      <c r="D28" s="3"/>
      <c r="E28" s="8">
        <v>0.92</v>
      </c>
      <c r="G28" s="14">
        <f t="shared" si="1"/>
        <v>1.0000000000000009E-2</v>
      </c>
    </row>
    <row r="29" spans="1:7" ht="15.5" x14ac:dyDescent="0.35">
      <c r="A29" s="6" t="s">
        <v>23</v>
      </c>
      <c r="B29" s="9">
        <v>104.34399999999999</v>
      </c>
      <c r="C29" s="9">
        <v>104.59399999999999</v>
      </c>
      <c r="D29" s="3"/>
      <c r="E29" s="10">
        <v>-0.24</v>
      </c>
      <c r="G29" s="14">
        <f t="shared" si="1"/>
        <v>-0.25</v>
      </c>
    </row>
    <row r="30" spans="1:7" ht="15.5" x14ac:dyDescent="0.35">
      <c r="A30" s="6" t="s">
        <v>24</v>
      </c>
      <c r="B30" s="7">
        <v>15160.42</v>
      </c>
      <c r="C30" s="7">
        <v>15170.13</v>
      </c>
      <c r="D30" s="3"/>
      <c r="E30" s="10">
        <v>-0.06</v>
      </c>
      <c r="G30" s="14">
        <f t="shared" si="1"/>
        <v>-9.7099999999991269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8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42902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9632.91</v>
      </c>
      <c r="C3" s="24">
        <v>9655.69</v>
      </c>
      <c r="D3" s="25"/>
      <c r="E3" s="26">
        <f>G3/B3</f>
        <v>-2.3648098030606178E-3</v>
      </c>
      <c r="F3" s="27"/>
      <c r="G3" s="24">
        <f t="shared" ref="G3:G4" si="0">B3-C3</f>
        <v>-22.780000000000655</v>
      </c>
    </row>
    <row r="4" spans="1:7" ht="15.5" x14ac:dyDescent="0.35">
      <c r="A4" s="23" t="s">
        <v>26</v>
      </c>
      <c r="B4" s="24">
        <v>2495.5700000000002</v>
      </c>
      <c r="C4" s="24">
        <v>2490.29</v>
      </c>
      <c r="D4" s="25"/>
      <c r="E4" s="26">
        <f>G4/B4</f>
        <v>2.1157491074184254E-3</v>
      </c>
      <c r="F4" s="27"/>
      <c r="G4" s="24">
        <f t="shared" si="0"/>
        <v>5.2800000000002001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21384.28</v>
      </c>
      <c r="C7" s="7">
        <v>21359.9</v>
      </c>
      <c r="D7" s="3"/>
      <c r="E7" s="8">
        <v>0.11</v>
      </c>
      <c r="G7" s="14">
        <f>B7-C7</f>
        <v>24.379999999997381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1753.44</v>
      </c>
      <c r="C9" s="7">
        <v>1753.3</v>
      </c>
      <c r="D9" s="3"/>
      <c r="E9" s="8">
        <v>0.01</v>
      </c>
      <c r="G9" s="14">
        <f t="shared" ref="G9:G30" si="1">B9-C9</f>
        <v>0.14000000000010004</v>
      </c>
    </row>
    <row r="10" spans="1:7" ht="15.5" x14ac:dyDescent="0.35">
      <c r="A10" s="6" t="s">
        <v>7</v>
      </c>
      <c r="B10" s="7">
        <v>2433.1</v>
      </c>
      <c r="C10" s="7">
        <v>2432.52</v>
      </c>
      <c r="D10" s="3"/>
      <c r="E10" s="8">
        <v>0.02</v>
      </c>
      <c r="G10" s="14">
        <f t="shared" si="1"/>
        <v>0.57999999999992724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1348.2360000000001</v>
      </c>
      <c r="C12" s="7">
        <v>1348.1369999999999</v>
      </c>
      <c r="D12" s="2"/>
      <c r="E12" s="8">
        <v>0.01</v>
      </c>
      <c r="G12" s="14">
        <f t="shared" si="1"/>
        <v>9.9000000000160071E-2</v>
      </c>
    </row>
    <row r="13" spans="1:7" ht="15.5" x14ac:dyDescent="0.35">
      <c r="A13" s="6" t="s">
        <v>9</v>
      </c>
      <c r="B13" s="7">
        <v>1406.6959999999999</v>
      </c>
      <c r="C13" s="7">
        <v>1410.2090000000001</v>
      </c>
      <c r="D13" s="2"/>
      <c r="E13" s="10">
        <v>-0.25</v>
      </c>
      <c r="G13" s="14">
        <f t="shared" si="1"/>
        <v>-3.5130000000001473</v>
      </c>
    </row>
    <row r="14" spans="1:7" ht="15.5" x14ac:dyDescent="0.35">
      <c r="A14" s="6" t="s">
        <v>10</v>
      </c>
      <c r="B14" s="7">
        <v>1440.8230000000001</v>
      </c>
      <c r="C14" s="7">
        <v>1440.9860000000001</v>
      </c>
      <c r="D14" s="2"/>
      <c r="E14" s="10">
        <v>-0.01</v>
      </c>
      <c r="G14" s="14">
        <f t="shared" si="1"/>
        <v>-0.16300000000001091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11771.64</v>
      </c>
      <c r="C16" s="7">
        <v>11740.38</v>
      </c>
      <c r="D16" s="3"/>
      <c r="E16" s="8">
        <v>0.27</v>
      </c>
      <c r="G16" s="14">
        <f t="shared" si="1"/>
        <v>31.260000000000218</v>
      </c>
    </row>
    <row r="17" spans="1:7" ht="15.5" x14ac:dyDescent="0.35">
      <c r="A17" s="6" t="s">
        <v>12</v>
      </c>
      <c r="B17" s="7">
        <v>6151.7579999999998</v>
      </c>
      <c r="C17" s="7">
        <v>6165.5010000000002</v>
      </c>
      <c r="D17" s="3"/>
      <c r="E17" s="10">
        <v>-0.22</v>
      </c>
      <c r="G17" s="14">
        <f t="shared" si="1"/>
        <v>-13.743000000000393</v>
      </c>
    </row>
    <row r="18" spans="1:7" ht="15.5" x14ac:dyDescent="0.35">
      <c r="A18" s="6" t="s">
        <v>13</v>
      </c>
      <c r="B18" s="7">
        <v>2619.77</v>
      </c>
      <c r="C18" s="7">
        <v>2586.81</v>
      </c>
      <c r="D18" s="3"/>
      <c r="E18" s="8">
        <v>1.27</v>
      </c>
      <c r="G18" s="14">
        <f t="shared" si="1"/>
        <v>32.960000000000036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1922.91</v>
      </c>
      <c r="C20" s="7">
        <v>1916.12</v>
      </c>
      <c r="D20" s="2"/>
      <c r="E20" s="8">
        <v>0.35</v>
      </c>
      <c r="G20" s="14">
        <f t="shared" si="1"/>
        <v>6.790000000000191</v>
      </c>
    </row>
    <row r="21" spans="1:7" ht="15.5" x14ac:dyDescent="0.35">
      <c r="A21" s="6" t="s">
        <v>15</v>
      </c>
      <c r="B21" s="7">
        <v>1891.85</v>
      </c>
      <c r="C21" s="7">
        <v>1875.62</v>
      </c>
      <c r="D21" s="2"/>
      <c r="E21" s="8">
        <v>0.87</v>
      </c>
      <c r="G21" s="14">
        <f t="shared" si="1"/>
        <v>16.230000000000018</v>
      </c>
    </row>
    <row r="22" spans="1:7" ht="31" x14ac:dyDescent="0.35">
      <c r="A22" s="6" t="s">
        <v>16</v>
      </c>
      <c r="B22" s="7">
        <v>1003.53</v>
      </c>
      <c r="C22" s="7">
        <v>1002.21</v>
      </c>
      <c r="D22" s="2"/>
      <c r="E22" s="8">
        <v>0.13</v>
      </c>
      <c r="G22" s="14">
        <f t="shared" si="1"/>
        <v>1.3199999999999363</v>
      </c>
    </row>
    <row r="23" spans="1:7" ht="15.5" x14ac:dyDescent="0.35">
      <c r="A23" s="6" t="s">
        <v>17</v>
      </c>
      <c r="B23" s="7">
        <v>1915.84</v>
      </c>
      <c r="C23" s="7">
        <v>1916.096</v>
      </c>
      <c r="D23" s="3"/>
      <c r="E23" s="10">
        <v>-0.01</v>
      </c>
      <c r="G23" s="14">
        <f t="shared" si="1"/>
        <v>-0.25600000000008549</v>
      </c>
    </row>
    <row r="24" spans="1:7" ht="15.5" x14ac:dyDescent="0.35">
      <c r="A24" s="6" t="s">
        <v>18</v>
      </c>
      <c r="B24" s="9">
        <v>101.98399999999999</v>
      </c>
      <c r="C24" s="9">
        <v>101.90600000000001</v>
      </c>
      <c r="D24" s="3"/>
      <c r="E24" s="8">
        <v>0.08</v>
      </c>
      <c r="G24" s="14">
        <f t="shared" si="1"/>
        <v>7.7999999999988745E-2</v>
      </c>
    </row>
    <row r="25" spans="1:7" ht="15.5" x14ac:dyDescent="0.35">
      <c r="A25" s="6" t="s">
        <v>19</v>
      </c>
      <c r="B25" s="9">
        <v>100.047</v>
      </c>
      <c r="C25" s="9">
        <v>99.960999999999999</v>
      </c>
      <c r="D25" s="3"/>
      <c r="E25" s="8">
        <v>0.09</v>
      </c>
      <c r="G25" s="14">
        <f t="shared" si="1"/>
        <v>8.5999999999998522E-2</v>
      </c>
    </row>
    <row r="26" spans="1:7" ht="15.5" x14ac:dyDescent="0.35">
      <c r="A26" s="6" t="s">
        <v>20</v>
      </c>
      <c r="B26" s="9">
        <v>99.875</v>
      </c>
      <c r="C26" s="9">
        <v>99.805000000000007</v>
      </c>
      <c r="D26" s="3"/>
      <c r="E26" s="8">
        <v>7.0000000000000007E-2</v>
      </c>
      <c r="G26" s="14">
        <f t="shared" si="1"/>
        <v>6.9999999999993179E-2</v>
      </c>
    </row>
    <row r="27" spans="1:7" x14ac:dyDescent="0.35">
      <c r="A27" s="11" t="s">
        <v>21</v>
      </c>
      <c r="B27" s="9">
        <v>0.99</v>
      </c>
      <c r="C27" s="9">
        <v>0.99</v>
      </c>
      <c r="D27" s="3"/>
      <c r="E27" s="8">
        <v>0</v>
      </c>
      <c r="G27" s="14">
        <f t="shared" si="1"/>
        <v>0</v>
      </c>
    </row>
    <row r="28" spans="1:7" x14ac:dyDescent="0.35">
      <c r="A28" s="11" t="s">
        <v>22</v>
      </c>
      <c r="B28" s="9">
        <v>1.0900000000000001</v>
      </c>
      <c r="C28" s="9">
        <v>1.1000000000000001</v>
      </c>
      <c r="D28" s="3"/>
      <c r="E28" s="10">
        <v>-0.91</v>
      </c>
      <c r="G28" s="14">
        <f t="shared" si="1"/>
        <v>-1.0000000000000009E-2</v>
      </c>
    </row>
    <row r="29" spans="1:7" ht="15.5" x14ac:dyDescent="0.35">
      <c r="A29" s="6" t="s">
        <v>23</v>
      </c>
      <c r="B29" s="9">
        <v>104.53100000000001</v>
      </c>
      <c r="C29" s="9">
        <v>104.34399999999999</v>
      </c>
      <c r="D29" s="3"/>
      <c r="E29" s="8">
        <v>0.18</v>
      </c>
      <c r="G29" s="14">
        <f t="shared" si="1"/>
        <v>0.18700000000001182</v>
      </c>
    </row>
    <row r="30" spans="1:7" ht="15.5" x14ac:dyDescent="0.35">
      <c r="A30" s="6" t="s">
        <v>24</v>
      </c>
      <c r="B30" s="7">
        <v>15192.54</v>
      </c>
      <c r="C30" s="7">
        <v>15160.42</v>
      </c>
      <c r="D30" s="3"/>
      <c r="E30" s="8">
        <v>0.21</v>
      </c>
      <c r="G30" s="14">
        <f t="shared" si="1"/>
        <v>32.1200000000008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9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8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42905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9629.51</v>
      </c>
      <c r="C3" s="24">
        <v>9632.91</v>
      </c>
      <c r="D3" s="25"/>
      <c r="E3" s="26">
        <f>G3/B3</f>
        <v>-3.5308130943315248E-4</v>
      </c>
      <c r="F3" s="27"/>
      <c r="G3" s="24">
        <f>B3-C3</f>
        <v>-3.3999999999996362</v>
      </c>
    </row>
    <row r="4" spans="1:7" ht="15.5" x14ac:dyDescent="0.35">
      <c r="A4" s="23" t="s">
        <v>26</v>
      </c>
      <c r="B4" s="24">
        <v>2505.5300000000002</v>
      </c>
      <c r="C4" s="24">
        <v>2495.5700000000002</v>
      </c>
      <c r="D4" s="25"/>
      <c r="E4" s="26">
        <f>G4/B4</f>
        <v>3.9752068424644829E-3</v>
      </c>
      <c r="F4" s="27"/>
      <c r="G4" s="24">
        <f>B4-C4</f>
        <v>9.9600000000000364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21528.99</v>
      </c>
      <c r="C7" s="7">
        <v>21384.28</v>
      </c>
      <c r="D7" s="3"/>
      <c r="E7" s="8">
        <v>0.68</v>
      </c>
      <c r="G7" s="14">
        <f>B7-C7</f>
        <v>144.71000000000276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1764.18</v>
      </c>
      <c r="C9" s="7">
        <v>1753.44</v>
      </c>
      <c r="D9" s="3"/>
      <c r="E9" s="8">
        <v>0.61</v>
      </c>
      <c r="G9" s="14">
        <f t="shared" ref="G9:G30" si="0">B9-C9</f>
        <v>10.740000000000009</v>
      </c>
    </row>
    <row r="10" spans="1:7" ht="15.5" x14ac:dyDescent="0.35">
      <c r="A10" s="6" t="s">
        <v>7</v>
      </c>
      <c r="B10" s="7">
        <v>2453.1999999999998</v>
      </c>
      <c r="C10" s="7">
        <v>2433.1</v>
      </c>
      <c r="D10" s="3"/>
      <c r="E10" s="8">
        <v>0.83</v>
      </c>
      <c r="G10" s="14">
        <f t="shared" si="0"/>
        <v>20.099999999999909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1359.3420000000001</v>
      </c>
      <c r="C12" s="7">
        <v>1348.2360000000001</v>
      </c>
      <c r="D12" s="2"/>
      <c r="E12" s="8">
        <v>0.82</v>
      </c>
      <c r="G12" s="14">
        <f t="shared" si="0"/>
        <v>11.105999999999995</v>
      </c>
    </row>
    <row r="13" spans="1:7" ht="15.5" x14ac:dyDescent="0.35">
      <c r="A13" s="6" t="s">
        <v>9</v>
      </c>
      <c r="B13" s="7">
        <v>1417.9970000000001</v>
      </c>
      <c r="C13" s="7">
        <v>1406.6959999999999</v>
      </c>
      <c r="D13" s="2"/>
      <c r="E13" s="8">
        <v>0.8</v>
      </c>
      <c r="G13" s="14">
        <f t="shared" si="0"/>
        <v>11.301000000000158</v>
      </c>
    </row>
    <row r="14" spans="1:7" ht="15.5" x14ac:dyDescent="0.35">
      <c r="A14" s="6" t="s">
        <v>10</v>
      </c>
      <c r="B14" s="7">
        <v>1452.6379999999999</v>
      </c>
      <c r="C14" s="7">
        <v>1440.8230000000001</v>
      </c>
      <c r="D14" s="2"/>
      <c r="E14" s="8">
        <v>0.82</v>
      </c>
      <c r="G14" s="14">
        <f t="shared" si="0"/>
        <v>11.814999999999827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11833.16</v>
      </c>
      <c r="C16" s="7">
        <v>11771.64</v>
      </c>
      <c r="D16" s="3"/>
      <c r="E16" s="8">
        <v>0.52</v>
      </c>
      <c r="G16" s="14">
        <f t="shared" si="0"/>
        <v>61.520000000000437</v>
      </c>
    </row>
    <row r="17" spans="1:7" ht="15.5" x14ac:dyDescent="0.35">
      <c r="A17" s="6" t="s">
        <v>12</v>
      </c>
      <c r="B17" s="7">
        <v>6239.0129999999999</v>
      </c>
      <c r="C17" s="7">
        <v>6151.7579999999998</v>
      </c>
      <c r="D17" s="3"/>
      <c r="E17" s="8">
        <v>1.42</v>
      </c>
      <c r="G17" s="14">
        <f t="shared" si="0"/>
        <v>87.255000000000109</v>
      </c>
    </row>
    <row r="18" spans="1:7" ht="15.5" x14ac:dyDescent="0.35">
      <c r="A18" s="6" t="s">
        <v>13</v>
      </c>
      <c r="B18" s="7">
        <v>2629.8809999999999</v>
      </c>
      <c r="C18" s="7">
        <v>2619.77</v>
      </c>
      <c r="D18" s="3"/>
      <c r="E18" s="8">
        <v>0.39</v>
      </c>
      <c r="G18" s="14">
        <f t="shared" si="0"/>
        <v>10.110999999999876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1936.52</v>
      </c>
      <c r="C20" s="7">
        <v>1922.91</v>
      </c>
      <c r="D20" s="2"/>
      <c r="E20" s="8">
        <v>0.71</v>
      </c>
      <c r="G20" s="14">
        <f t="shared" si="0"/>
        <v>13.6099999999999</v>
      </c>
    </row>
    <row r="21" spans="1:7" ht="15.5" x14ac:dyDescent="0.35">
      <c r="A21" s="6" t="s">
        <v>15</v>
      </c>
      <c r="B21" s="7">
        <v>1901.8</v>
      </c>
      <c r="C21" s="7">
        <v>1891.85</v>
      </c>
      <c r="D21" s="2"/>
      <c r="E21" s="8">
        <v>0.53</v>
      </c>
      <c r="G21" s="14">
        <f t="shared" si="0"/>
        <v>9.9500000000000455</v>
      </c>
    </row>
    <row r="22" spans="1:7" ht="31" x14ac:dyDescent="0.35">
      <c r="A22" s="6" t="s">
        <v>16</v>
      </c>
      <c r="B22" s="7">
        <v>1012.95</v>
      </c>
      <c r="C22" s="7">
        <v>1003.53</v>
      </c>
      <c r="D22" s="2"/>
      <c r="E22" s="8">
        <v>0.94</v>
      </c>
      <c r="G22" s="14">
        <f t="shared" si="0"/>
        <v>9.4200000000000728</v>
      </c>
    </row>
    <row r="23" spans="1:7" ht="15.5" x14ac:dyDescent="0.35">
      <c r="A23" s="6" t="s">
        <v>17</v>
      </c>
      <c r="B23" s="7">
        <v>1929.79</v>
      </c>
      <c r="C23" s="7">
        <v>1915.837</v>
      </c>
      <c r="D23" s="3"/>
      <c r="E23" s="8">
        <v>0.73</v>
      </c>
      <c r="G23" s="14">
        <f t="shared" si="0"/>
        <v>13.952999999999975</v>
      </c>
    </row>
    <row r="24" spans="1:7" ht="15.5" x14ac:dyDescent="0.35">
      <c r="A24" s="6" t="s">
        <v>18</v>
      </c>
      <c r="B24" s="9">
        <v>101.65600000000001</v>
      </c>
      <c r="C24" s="9">
        <v>101.98399999999999</v>
      </c>
      <c r="D24" s="3"/>
      <c r="E24" s="10">
        <v>-0.32</v>
      </c>
      <c r="G24" s="14">
        <f t="shared" si="0"/>
        <v>-0.32799999999998875</v>
      </c>
    </row>
    <row r="25" spans="1:7" ht="15.5" x14ac:dyDescent="0.35">
      <c r="A25" s="6" t="s">
        <v>19</v>
      </c>
      <c r="B25" s="9">
        <v>99.828000000000003</v>
      </c>
      <c r="C25" s="9">
        <v>100.047</v>
      </c>
      <c r="D25" s="3"/>
      <c r="E25" s="10">
        <v>-0.22</v>
      </c>
      <c r="G25" s="14">
        <f t="shared" si="0"/>
        <v>-0.21899999999999409</v>
      </c>
    </row>
    <row r="26" spans="1:7" ht="15.5" x14ac:dyDescent="0.35">
      <c r="A26" s="6" t="s">
        <v>20</v>
      </c>
      <c r="B26" s="9">
        <v>99.796999999999997</v>
      </c>
      <c r="C26" s="9">
        <v>99.875</v>
      </c>
      <c r="D26" s="3"/>
      <c r="E26" s="10">
        <v>-0.08</v>
      </c>
      <c r="G26" s="14">
        <f t="shared" si="0"/>
        <v>-7.8000000000002956E-2</v>
      </c>
    </row>
    <row r="27" spans="1:7" x14ac:dyDescent="0.35">
      <c r="A27" s="11" t="s">
        <v>21</v>
      </c>
      <c r="B27" s="9">
        <v>0.99</v>
      </c>
      <c r="C27" s="9">
        <v>0.99</v>
      </c>
      <c r="D27" s="3"/>
      <c r="E27" s="8">
        <v>0</v>
      </c>
      <c r="G27" s="14">
        <f t="shared" si="0"/>
        <v>0</v>
      </c>
    </row>
    <row r="28" spans="1:7" x14ac:dyDescent="0.35">
      <c r="A28" s="11" t="s">
        <v>22</v>
      </c>
      <c r="B28" s="9">
        <v>1.1000000000000001</v>
      </c>
      <c r="C28" s="9">
        <v>1.0900000000000001</v>
      </c>
      <c r="D28" s="3"/>
      <c r="E28" s="8">
        <v>0.92</v>
      </c>
      <c r="G28" s="14">
        <f t="shared" si="0"/>
        <v>1.0000000000000009E-2</v>
      </c>
    </row>
    <row r="29" spans="1:7" ht="15.5" x14ac:dyDescent="0.35">
      <c r="A29" s="6" t="s">
        <v>23</v>
      </c>
      <c r="B29" s="9">
        <v>104.34399999999999</v>
      </c>
      <c r="C29" s="9">
        <v>104.53100000000001</v>
      </c>
      <c r="D29" s="3"/>
      <c r="E29" s="10">
        <v>-0.18</v>
      </c>
      <c r="G29" s="14">
        <f t="shared" si="0"/>
        <v>-0.18700000000001182</v>
      </c>
    </row>
    <row r="30" spans="1:7" ht="15.5" x14ac:dyDescent="0.35">
      <c r="A30" s="6" t="s">
        <v>24</v>
      </c>
      <c r="B30" s="7">
        <v>15266.04</v>
      </c>
      <c r="C30" s="7">
        <v>15192.54</v>
      </c>
      <c r="D30" s="3"/>
      <c r="E30" s="8">
        <v>0.48</v>
      </c>
      <c r="G30" s="14">
        <f t="shared" si="0"/>
        <v>73.5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0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42906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9606.85</v>
      </c>
      <c r="C3" s="24">
        <v>9629.51</v>
      </c>
      <c r="D3" s="25"/>
      <c r="E3" s="26">
        <f>G3/B3</f>
        <v>-2.358733611953955E-3</v>
      </c>
      <c r="F3" s="27"/>
      <c r="G3" s="24">
        <f>B3-C3</f>
        <v>-22.659999999999854</v>
      </c>
    </row>
    <row r="4" spans="1:7" ht="15.5" x14ac:dyDescent="0.35">
      <c r="A4" s="23" t="s">
        <v>26</v>
      </c>
      <c r="B4" s="24">
        <v>2484.12</v>
      </c>
      <c r="C4" s="24">
        <v>2505.5300000000002</v>
      </c>
      <c r="D4" s="25"/>
      <c r="E4" s="26">
        <f>G4/B4</f>
        <v>-8.6187462763474831E-3</v>
      </c>
      <c r="F4" s="27"/>
      <c r="G4" s="24">
        <f>B4-C4</f>
        <v>-21.410000000000309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21467.14</v>
      </c>
      <c r="C7" s="7">
        <v>21528.99</v>
      </c>
      <c r="D7" s="3"/>
      <c r="E7" s="10">
        <v>-0.28999999999999998</v>
      </c>
      <c r="G7" s="14">
        <f>B7-C7</f>
        <v>-61.850000000002183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1745.4</v>
      </c>
      <c r="C9" s="7">
        <v>1764.18</v>
      </c>
      <c r="D9" s="3"/>
      <c r="E9" s="10">
        <v>-1.06</v>
      </c>
      <c r="G9" s="14">
        <f t="shared" ref="G9:G30" si="0">B9-C9</f>
        <v>-18.779999999999973</v>
      </c>
    </row>
    <row r="10" spans="1:7" ht="15.5" x14ac:dyDescent="0.35">
      <c r="A10" s="6" t="s">
        <v>7</v>
      </c>
      <c r="B10" s="7">
        <v>2437.14</v>
      </c>
      <c r="C10" s="7">
        <v>2453.1999999999998</v>
      </c>
      <c r="D10" s="3"/>
      <c r="E10" s="10">
        <v>-0.65</v>
      </c>
      <c r="G10" s="14">
        <f t="shared" si="0"/>
        <v>-16.059999999999945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1350.107</v>
      </c>
      <c r="C12" s="7">
        <v>1359.3420000000001</v>
      </c>
      <c r="D12" s="2"/>
      <c r="E12" s="10">
        <v>-0.68</v>
      </c>
      <c r="G12" s="14">
        <f t="shared" si="0"/>
        <v>-9.2350000000001273</v>
      </c>
    </row>
    <row r="13" spans="1:7" ht="15.5" x14ac:dyDescent="0.35">
      <c r="A13" s="6" t="s">
        <v>9</v>
      </c>
      <c r="B13" s="7">
        <v>1402.9749999999999</v>
      </c>
      <c r="C13" s="7">
        <v>1417.9970000000001</v>
      </c>
      <c r="D13" s="2"/>
      <c r="E13" s="10">
        <v>-1.06</v>
      </c>
      <c r="G13" s="14">
        <f t="shared" si="0"/>
        <v>-15.022000000000162</v>
      </c>
    </row>
    <row r="14" spans="1:7" ht="15.5" x14ac:dyDescent="0.35">
      <c r="A14" s="6" t="s">
        <v>10</v>
      </c>
      <c r="B14" s="7">
        <v>1442.38</v>
      </c>
      <c r="C14" s="7">
        <v>1452.6379999999999</v>
      </c>
      <c r="D14" s="2"/>
      <c r="E14" s="10">
        <v>-0.71</v>
      </c>
      <c r="G14" s="14">
        <f t="shared" si="0"/>
        <v>-10.257999999999811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11739.29</v>
      </c>
      <c r="C16" s="7">
        <v>11833.16</v>
      </c>
      <c r="D16" s="3"/>
      <c r="E16" s="10">
        <v>-0.79</v>
      </c>
      <c r="G16" s="14">
        <f t="shared" si="0"/>
        <v>-93.869999999998981</v>
      </c>
    </row>
    <row r="17" spans="1:7" ht="15.5" x14ac:dyDescent="0.35">
      <c r="A17" s="6" t="s">
        <v>12</v>
      </c>
      <c r="B17" s="7">
        <v>6188.0309999999999</v>
      </c>
      <c r="C17" s="7">
        <v>6239.0129999999999</v>
      </c>
      <c r="D17" s="3"/>
      <c r="E17" s="10">
        <v>-0.82</v>
      </c>
      <c r="G17" s="14">
        <f t="shared" si="0"/>
        <v>-50.981999999999971</v>
      </c>
    </row>
    <row r="18" spans="1:7" ht="15.5" x14ac:dyDescent="0.35">
      <c r="A18" s="6" t="s">
        <v>13</v>
      </c>
      <c r="B18" s="7">
        <v>2594.375</v>
      </c>
      <c r="C18" s="7">
        <v>2629.8809999999999</v>
      </c>
      <c r="D18" s="3"/>
      <c r="E18" s="10">
        <v>-1.35</v>
      </c>
      <c r="G18" s="14">
        <f t="shared" si="0"/>
        <v>-35.505999999999858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1922.54</v>
      </c>
      <c r="C20" s="7">
        <v>1936.52</v>
      </c>
      <c r="D20" s="2"/>
      <c r="E20" s="10">
        <v>-0.72</v>
      </c>
      <c r="G20" s="14">
        <f t="shared" si="0"/>
        <v>-13.980000000000018</v>
      </c>
    </row>
    <row r="21" spans="1:7" ht="15.5" x14ac:dyDescent="0.35">
      <c r="A21" s="6" t="s">
        <v>15</v>
      </c>
      <c r="B21" s="7">
        <v>1888.93</v>
      </c>
      <c r="C21" s="7">
        <v>1901.8</v>
      </c>
      <c r="D21" s="2"/>
      <c r="E21" s="10">
        <v>-0.68</v>
      </c>
      <c r="G21" s="14">
        <f t="shared" si="0"/>
        <v>-12.869999999999891</v>
      </c>
    </row>
    <row r="22" spans="1:7" ht="31" x14ac:dyDescent="0.35">
      <c r="A22" s="6" t="s">
        <v>16</v>
      </c>
      <c r="B22" s="7">
        <v>1008.67</v>
      </c>
      <c r="C22" s="7">
        <v>1012.95</v>
      </c>
      <c r="D22" s="2"/>
      <c r="E22" s="10">
        <v>-0.42</v>
      </c>
      <c r="G22" s="14">
        <f t="shared" si="0"/>
        <v>-4.2800000000000864</v>
      </c>
    </row>
    <row r="23" spans="1:7" ht="15.5" x14ac:dyDescent="0.35">
      <c r="A23" s="6" t="s">
        <v>17</v>
      </c>
      <c r="B23" s="7">
        <v>1912.41</v>
      </c>
      <c r="C23" s="7">
        <v>1929.7909999999999</v>
      </c>
      <c r="D23" s="3"/>
      <c r="E23" s="10">
        <v>-0.9</v>
      </c>
      <c r="G23" s="14">
        <f t="shared" si="0"/>
        <v>-17.380999999999858</v>
      </c>
    </row>
    <row r="24" spans="1:7" ht="15.5" x14ac:dyDescent="0.35">
      <c r="A24" s="6" t="s">
        <v>18</v>
      </c>
      <c r="B24" s="9">
        <v>101.953</v>
      </c>
      <c r="C24" s="9">
        <v>101.65600000000001</v>
      </c>
      <c r="D24" s="3"/>
      <c r="E24" s="8">
        <v>0.28999999999999998</v>
      </c>
      <c r="G24" s="14">
        <f t="shared" si="0"/>
        <v>0.29699999999999704</v>
      </c>
    </row>
    <row r="25" spans="1:7" ht="15.5" x14ac:dyDescent="0.35">
      <c r="A25" s="6" t="s">
        <v>19</v>
      </c>
      <c r="B25" s="9">
        <v>99.953000000000003</v>
      </c>
      <c r="C25" s="9">
        <v>99.828000000000003</v>
      </c>
      <c r="D25" s="3"/>
      <c r="E25" s="8">
        <v>0.13</v>
      </c>
      <c r="G25" s="14">
        <f t="shared" si="0"/>
        <v>0.125</v>
      </c>
    </row>
    <row r="26" spans="1:7" ht="15.5" x14ac:dyDescent="0.35">
      <c r="A26" s="6" t="s">
        <v>20</v>
      </c>
      <c r="B26" s="9">
        <v>99.82</v>
      </c>
      <c r="C26" s="9">
        <v>99.796999999999997</v>
      </c>
      <c r="D26" s="3"/>
      <c r="E26" s="8">
        <v>0.02</v>
      </c>
      <c r="G26" s="14">
        <f t="shared" si="0"/>
        <v>2.2999999999996135E-2</v>
      </c>
    </row>
    <row r="27" spans="1:7" x14ac:dyDescent="0.35">
      <c r="A27" s="11" t="s">
        <v>21</v>
      </c>
      <c r="B27" s="9">
        <v>0.995</v>
      </c>
      <c r="C27" s="9">
        <v>0.99</v>
      </c>
      <c r="D27" s="3"/>
      <c r="E27" s="8">
        <v>0.51</v>
      </c>
      <c r="G27" s="14">
        <f t="shared" si="0"/>
        <v>5.0000000000000044E-3</v>
      </c>
    </row>
    <row r="28" spans="1:7" x14ac:dyDescent="0.35">
      <c r="A28" s="11" t="s">
        <v>22</v>
      </c>
      <c r="B28" s="9">
        <v>1.1100000000000001</v>
      </c>
      <c r="C28" s="9">
        <v>1.1000000000000001</v>
      </c>
      <c r="D28" s="3"/>
      <c r="E28" s="8">
        <v>0.91</v>
      </c>
      <c r="G28" s="14">
        <f t="shared" si="0"/>
        <v>1.0000000000000009E-2</v>
      </c>
    </row>
    <row r="29" spans="1:7" ht="15.5" x14ac:dyDescent="0.35">
      <c r="A29" s="6" t="s">
        <v>23</v>
      </c>
      <c r="B29" s="9">
        <v>105.40600000000001</v>
      </c>
      <c r="C29" s="9">
        <v>104.34399999999999</v>
      </c>
      <c r="D29" s="3"/>
      <c r="E29" s="8">
        <v>1.02</v>
      </c>
      <c r="G29" s="14">
        <f t="shared" si="0"/>
        <v>1.0620000000000118</v>
      </c>
    </row>
    <row r="30" spans="1:7" ht="15.5" x14ac:dyDescent="0.35">
      <c r="A30" s="6" t="s">
        <v>24</v>
      </c>
      <c r="B30" s="7">
        <v>15149.6</v>
      </c>
      <c r="C30" s="7">
        <v>15266.04</v>
      </c>
      <c r="D30" s="3"/>
      <c r="E30" s="10">
        <v>-0.76</v>
      </c>
      <c r="G30" s="14">
        <f t="shared" si="0"/>
        <v>-116.44000000000051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1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9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42907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9583.7800000000007</v>
      </c>
      <c r="C3" s="24">
        <v>9606.85</v>
      </c>
      <c r="D3" s="25"/>
      <c r="E3" s="26">
        <f>G3/B3</f>
        <v>-2.4071921517396797E-3</v>
      </c>
      <c r="F3" s="27"/>
      <c r="G3" s="24">
        <f>B3-C3</f>
        <v>-23.069999999999709</v>
      </c>
    </row>
    <row r="4" spans="1:7" ht="15.5" x14ac:dyDescent="0.35">
      <c r="A4" s="23" t="s">
        <v>26</v>
      </c>
      <c r="B4" s="24">
        <v>2473.0500000000002</v>
      </c>
      <c r="C4" s="24">
        <v>2484.12</v>
      </c>
      <c r="D4" s="25"/>
      <c r="E4" s="26">
        <f>G4/B4</f>
        <v>-4.476254018317344E-3</v>
      </c>
      <c r="F4" s="27"/>
      <c r="G4" s="24">
        <f>B4-C4</f>
        <v>-11.069999999999709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21410.03</v>
      </c>
      <c r="C7" s="7">
        <v>21467.14</v>
      </c>
      <c r="D7" s="3"/>
      <c r="E7" s="10">
        <v>-0.27</v>
      </c>
      <c r="G7" s="14">
        <f>B7-C7</f>
        <v>-57.110000000000582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1734.9</v>
      </c>
      <c r="C9" s="7">
        <v>1745.4</v>
      </c>
      <c r="D9" s="3"/>
      <c r="E9" s="10">
        <v>-0.6</v>
      </c>
      <c r="G9" s="14">
        <f t="shared" ref="G9:G30" si="0">B9-C9</f>
        <v>-10.5</v>
      </c>
    </row>
    <row r="10" spans="1:7" ht="15.5" x14ac:dyDescent="0.35">
      <c r="A10" s="6" t="s">
        <v>7</v>
      </c>
      <c r="B10" s="7">
        <v>2435.85</v>
      </c>
      <c r="C10" s="7">
        <v>2437.14</v>
      </c>
      <c r="D10" s="3"/>
      <c r="E10" s="10">
        <v>-0.05</v>
      </c>
      <c r="G10" s="14">
        <f t="shared" si="0"/>
        <v>-1.2899999999999636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1349.1220000000001</v>
      </c>
      <c r="C12" s="7">
        <v>1350.107</v>
      </c>
      <c r="D12" s="2"/>
      <c r="E12" s="10">
        <v>-7.0000000000000007E-2</v>
      </c>
      <c r="G12" s="14">
        <f t="shared" si="0"/>
        <v>-0.98499999999989996</v>
      </c>
    </row>
    <row r="13" spans="1:7" ht="15.5" x14ac:dyDescent="0.35">
      <c r="A13" s="6" t="s">
        <v>9</v>
      </c>
      <c r="B13" s="7">
        <v>1399.51</v>
      </c>
      <c r="C13" s="7">
        <v>1402.9749999999999</v>
      </c>
      <c r="D13" s="2"/>
      <c r="E13" s="10">
        <v>-0.25</v>
      </c>
      <c r="G13" s="14">
        <f t="shared" si="0"/>
        <v>-3.4649999999999181</v>
      </c>
    </row>
    <row r="14" spans="1:7" ht="15.5" x14ac:dyDescent="0.35">
      <c r="A14" s="6" t="s">
        <v>10</v>
      </c>
      <c r="B14" s="7">
        <v>1441.145</v>
      </c>
      <c r="C14" s="7">
        <v>1442.38</v>
      </c>
      <c r="D14" s="2"/>
      <c r="E14" s="10">
        <v>-0.09</v>
      </c>
      <c r="G14" s="14">
        <f t="shared" si="0"/>
        <v>-1.2350000000001273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11696.36</v>
      </c>
      <c r="C16" s="7">
        <v>11739.29</v>
      </c>
      <c r="D16" s="3"/>
      <c r="E16" s="10">
        <v>-0.37</v>
      </c>
      <c r="G16" s="14">
        <f t="shared" si="0"/>
        <v>-42.930000000000291</v>
      </c>
    </row>
    <row r="17" spans="1:7" ht="15.5" x14ac:dyDescent="0.35">
      <c r="A17" s="6" t="s">
        <v>12</v>
      </c>
      <c r="B17" s="7">
        <v>6233.9530000000004</v>
      </c>
      <c r="C17" s="7">
        <v>6188.0309999999999</v>
      </c>
      <c r="D17" s="3"/>
      <c r="E17" s="10">
        <v>0.74</v>
      </c>
      <c r="G17" s="14">
        <f t="shared" si="0"/>
        <v>45.92200000000048</v>
      </c>
    </row>
    <row r="18" spans="1:7" ht="15.5" x14ac:dyDescent="0.35">
      <c r="A18" s="6" t="s">
        <v>13</v>
      </c>
      <c r="B18" s="7">
        <v>2590.4259999999999</v>
      </c>
      <c r="C18" s="7">
        <v>2594.375</v>
      </c>
      <c r="D18" s="3"/>
      <c r="E18" s="10">
        <v>-0.15</v>
      </c>
      <c r="G18" s="14">
        <f t="shared" si="0"/>
        <v>-3.9490000000000691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1920</v>
      </c>
      <c r="C20" s="7">
        <v>1922.54</v>
      </c>
      <c r="D20" s="2"/>
      <c r="E20" s="10">
        <v>-0.13</v>
      </c>
      <c r="G20" s="14">
        <f t="shared" si="0"/>
        <v>-2.5399999999999636</v>
      </c>
    </row>
    <row r="21" spans="1:7" ht="15.5" x14ac:dyDescent="0.35">
      <c r="A21" s="6" t="s">
        <v>15</v>
      </c>
      <c r="B21" s="7">
        <v>1882.65</v>
      </c>
      <c r="C21" s="7">
        <v>1888.93</v>
      </c>
      <c r="D21" s="2"/>
      <c r="E21" s="10">
        <v>-0.33</v>
      </c>
      <c r="G21" s="14">
        <f t="shared" si="0"/>
        <v>-6.2799999999999727</v>
      </c>
    </row>
    <row r="22" spans="1:7" ht="31" x14ac:dyDescent="0.35">
      <c r="A22" s="6" t="s">
        <v>16</v>
      </c>
      <c r="B22" s="7">
        <v>1006.47</v>
      </c>
      <c r="C22" s="7">
        <v>1008.67</v>
      </c>
      <c r="D22" s="2"/>
      <c r="E22" s="10">
        <v>-0.22</v>
      </c>
      <c r="G22" s="14">
        <f t="shared" si="0"/>
        <v>-2.1999999999999318</v>
      </c>
    </row>
    <row r="23" spans="1:7" ht="15.5" x14ac:dyDescent="0.35">
      <c r="A23" s="6" t="s">
        <v>17</v>
      </c>
      <c r="B23" s="7">
        <v>1907.2</v>
      </c>
      <c r="C23" s="7">
        <v>1912.405</v>
      </c>
      <c r="D23" s="3"/>
      <c r="E23" s="10">
        <v>-0.27</v>
      </c>
      <c r="G23" s="14">
        <f t="shared" si="0"/>
        <v>-5.2049999999999272</v>
      </c>
    </row>
    <row r="24" spans="1:7" ht="15.5" x14ac:dyDescent="0.35">
      <c r="A24" s="6" t="s">
        <v>18</v>
      </c>
      <c r="B24" s="9">
        <v>101.90600000000001</v>
      </c>
      <c r="C24" s="9">
        <v>101.953</v>
      </c>
      <c r="D24" s="3"/>
      <c r="E24" s="8">
        <v>-0.05</v>
      </c>
      <c r="G24" s="14">
        <f t="shared" si="0"/>
        <v>-4.6999999999997044E-2</v>
      </c>
    </row>
    <row r="25" spans="1:7" ht="15.5" x14ac:dyDescent="0.35">
      <c r="A25" s="6" t="s">
        <v>19</v>
      </c>
      <c r="B25" s="9">
        <v>99.897999999999996</v>
      </c>
      <c r="C25" s="9">
        <v>99.953000000000003</v>
      </c>
      <c r="D25" s="3"/>
      <c r="E25" s="8">
        <v>-0.06</v>
      </c>
      <c r="G25" s="14">
        <f t="shared" si="0"/>
        <v>-5.5000000000006821E-2</v>
      </c>
    </row>
    <row r="26" spans="1:7" ht="15.5" x14ac:dyDescent="0.35">
      <c r="A26" s="6" t="s">
        <v>20</v>
      </c>
      <c r="B26" s="9">
        <v>99.805000000000007</v>
      </c>
      <c r="C26" s="9">
        <v>99.82</v>
      </c>
      <c r="D26" s="3"/>
      <c r="E26" s="8">
        <v>-0.02</v>
      </c>
      <c r="G26" s="14">
        <f t="shared" si="0"/>
        <v>-1.4999999999986358E-2</v>
      </c>
    </row>
    <row r="27" spans="1:7" x14ac:dyDescent="0.35">
      <c r="A27" s="11" t="s">
        <v>21</v>
      </c>
      <c r="B27" s="9">
        <v>0.96499999999999997</v>
      </c>
      <c r="C27" s="9">
        <v>0.995</v>
      </c>
      <c r="D27" s="3"/>
      <c r="E27" s="8">
        <v>-3.02</v>
      </c>
      <c r="G27" s="14">
        <f t="shared" si="0"/>
        <v>-3.0000000000000027E-2</v>
      </c>
    </row>
    <row r="28" spans="1:7" x14ac:dyDescent="0.35">
      <c r="A28" s="11" t="s">
        <v>22</v>
      </c>
      <c r="B28" s="9">
        <v>1.095</v>
      </c>
      <c r="C28" s="9">
        <v>1.1100000000000001</v>
      </c>
      <c r="D28" s="3"/>
      <c r="E28" s="8">
        <v>-1.35</v>
      </c>
      <c r="G28" s="14">
        <f t="shared" si="0"/>
        <v>-1.5000000000000124E-2</v>
      </c>
    </row>
    <row r="29" spans="1:7" ht="15.5" x14ac:dyDescent="0.35">
      <c r="A29" s="6" t="s">
        <v>23</v>
      </c>
      <c r="B29" s="9">
        <v>105.563</v>
      </c>
      <c r="C29" s="9">
        <v>105.40600000000001</v>
      </c>
      <c r="D29" s="3"/>
      <c r="E29" s="8">
        <v>0.15</v>
      </c>
      <c r="G29" s="14">
        <f t="shared" si="0"/>
        <v>0.15699999999999648</v>
      </c>
    </row>
    <row r="30" spans="1:7" ht="15.5" x14ac:dyDescent="0.35">
      <c r="A30" s="6" t="s">
        <v>24</v>
      </c>
      <c r="B30" s="7">
        <v>15148.53</v>
      </c>
      <c r="C30" s="7">
        <v>15149.6</v>
      </c>
      <c r="D30" s="3"/>
      <c r="E30" s="10">
        <v>-0.01</v>
      </c>
      <c r="G30" s="14">
        <f t="shared" si="0"/>
        <v>-1.069999999999709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2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42908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9588.2000000000007</v>
      </c>
      <c r="C3" s="24">
        <v>9583.7800000000007</v>
      </c>
      <c r="D3" s="25"/>
      <c r="E3" s="26">
        <f>G3/B3</f>
        <v>4.6098329196304547E-4</v>
      </c>
      <c r="G3" s="14">
        <f>B3-C3</f>
        <v>4.4200000000000728</v>
      </c>
    </row>
    <row r="4" spans="1:7" ht="15.5" x14ac:dyDescent="0.35">
      <c r="A4" s="23" t="s">
        <v>26</v>
      </c>
      <c r="B4" s="24">
        <v>2487.27</v>
      </c>
      <c r="C4" s="24">
        <v>2473.0500000000002</v>
      </c>
      <c r="D4" s="25"/>
      <c r="E4" s="26">
        <f>G4/B4</f>
        <v>5.7171115319204586E-3</v>
      </c>
      <c r="G4" s="14">
        <f>B4-C4</f>
        <v>14.2199999999998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21397.29</v>
      </c>
      <c r="C7" s="7">
        <v>21410.03</v>
      </c>
      <c r="D7" s="3"/>
      <c r="E7" s="10">
        <v>-0.06</v>
      </c>
      <c r="G7" s="14">
        <f>B7-C7</f>
        <v>-12.739999999997963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1736.45</v>
      </c>
      <c r="C9" s="7">
        <v>1734.9</v>
      </c>
      <c r="D9" s="3"/>
      <c r="E9" s="8">
        <v>0.09</v>
      </c>
      <c r="G9" s="14">
        <f t="shared" ref="G9:G30" si="0">B9-C9</f>
        <v>1.5499999999999545</v>
      </c>
    </row>
    <row r="10" spans="1:7" ht="15.5" x14ac:dyDescent="0.35">
      <c r="A10" s="6" t="s">
        <v>7</v>
      </c>
      <c r="B10" s="7">
        <v>2434.61</v>
      </c>
      <c r="C10" s="7">
        <v>2435.85</v>
      </c>
      <c r="D10" s="3"/>
      <c r="E10" s="10">
        <v>-0.05</v>
      </c>
      <c r="G10" s="14">
        <f t="shared" si="0"/>
        <v>-1.2399999999997817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1348.788</v>
      </c>
      <c r="C12" s="7">
        <v>1349.1220000000001</v>
      </c>
      <c r="D12" s="2"/>
      <c r="E12" s="10">
        <v>-0.02</v>
      </c>
      <c r="G12" s="14">
        <f t="shared" si="0"/>
        <v>-0.33400000000006003</v>
      </c>
    </row>
    <row r="13" spans="1:7" ht="15.5" x14ac:dyDescent="0.35">
      <c r="A13" s="6" t="s">
        <v>9</v>
      </c>
      <c r="B13" s="7">
        <v>1404.615</v>
      </c>
      <c r="C13" s="7">
        <v>1399.51</v>
      </c>
      <c r="D13" s="2"/>
      <c r="E13" s="8">
        <v>0.36</v>
      </c>
      <c r="G13" s="14">
        <f t="shared" si="0"/>
        <v>5.1050000000000182</v>
      </c>
    </row>
    <row r="14" spans="1:7" ht="15.5" x14ac:dyDescent="0.35">
      <c r="A14" s="6" t="s">
        <v>10</v>
      </c>
      <c r="B14" s="7">
        <v>1441.2059999999999</v>
      </c>
      <c r="C14" s="7">
        <v>1441.145</v>
      </c>
      <c r="D14" s="2"/>
      <c r="E14" s="8">
        <v>0</v>
      </c>
      <c r="G14" s="14">
        <f t="shared" si="0"/>
        <v>6.0999999999921783E-2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11712.61</v>
      </c>
      <c r="C16" s="7">
        <v>11696.36</v>
      </c>
      <c r="D16" s="3"/>
      <c r="E16" s="8">
        <v>0.14000000000000001</v>
      </c>
      <c r="G16" s="14">
        <f t="shared" si="0"/>
        <v>16.25</v>
      </c>
    </row>
    <row r="17" spans="1:7" ht="15.5" x14ac:dyDescent="0.35">
      <c r="A17" s="6" t="s">
        <v>12</v>
      </c>
      <c r="B17" s="7">
        <v>6236.6850000000004</v>
      </c>
      <c r="C17" s="7">
        <v>6233.9530000000004</v>
      </c>
      <c r="D17" s="3"/>
      <c r="E17" s="8">
        <v>0.04</v>
      </c>
      <c r="G17" s="14">
        <f t="shared" si="0"/>
        <v>2.7319999999999709</v>
      </c>
    </row>
    <row r="18" spans="1:7" ht="15.5" x14ac:dyDescent="0.35">
      <c r="A18" s="6" t="s">
        <v>13</v>
      </c>
      <c r="B18" s="7">
        <v>2573.529</v>
      </c>
      <c r="C18" s="7">
        <v>2590.4259999999999</v>
      </c>
      <c r="D18" s="3"/>
      <c r="E18" s="10">
        <v>-0.65</v>
      </c>
      <c r="G18" s="14">
        <f t="shared" si="0"/>
        <v>-16.896999999999935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1921.54</v>
      </c>
      <c r="C20" s="7">
        <v>1920</v>
      </c>
      <c r="D20" s="2"/>
      <c r="E20" s="8">
        <v>0.08</v>
      </c>
      <c r="G20" s="14">
        <f t="shared" si="0"/>
        <v>1.5399999999999636</v>
      </c>
    </row>
    <row r="21" spans="1:7" ht="15.5" x14ac:dyDescent="0.35">
      <c r="A21" s="6" t="s">
        <v>15</v>
      </c>
      <c r="B21" s="7">
        <v>1886.03</v>
      </c>
      <c r="C21" s="7">
        <v>1882.65</v>
      </c>
      <c r="D21" s="2"/>
      <c r="E21" s="8">
        <v>0.18</v>
      </c>
      <c r="G21" s="14">
        <f t="shared" si="0"/>
        <v>3.3799999999998818</v>
      </c>
    </row>
    <row r="22" spans="1:7" ht="31" x14ac:dyDescent="0.35">
      <c r="A22" s="6" t="s">
        <v>16</v>
      </c>
      <c r="B22" s="7">
        <v>1008.81</v>
      </c>
      <c r="C22" s="7">
        <v>1006.47</v>
      </c>
      <c r="D22" s="2"/>
      <c r="E22" s="8">
        <v>0.23</v>
      </c>
      <c r="G22" s="14">
        <f t="shared" si="0"/>
        <v>2.3399999999999181</v>
      </c>
    </row>
    <row r="23" spans="1:7" ht="15.5" x14ac:dyDescent="0.35">
      <c r="A23" s="6" t="s">
        <v>17</v>
      </c>
      <c r="B23" s="7">
        <v>1908.07</v>
      </c>
      <c r="C23" s="7">
        <v>1907.1980000000001</v>
      </c>
      <c r="D23" s="3"/>
      <c r="E23" s="8">
        <v>0.05</v>
      </c>
      <c r="G23" s="14">
        <f t="shared" si="0"/>
        <v>0.87199999999984357</v>
      </c>
    </row>
    <row r="24" spans="1:7" ht="15.5" x14ac:dyDescent="0.35">
      <c r="A24" s="6" t="s">
        <v>18</v>
      </c>
      <c r="B24" s="9">
        <v>102.01600000000001</v>
      </c>
      <c r="C24" s="9">
        <v>101.90600000000001</v>
      </c>
      <c r="D24" s="3"/>
      <c r="E24" s="8">
        <v>0.11</v>
      </c>
      <c r="G24" s="14">
        <f t="shared" si="0"/>
        <v>0.10999999999999943</v>
      </c>
    </row>
    <row r="25" spans="1:7" ht="15.5" x14ac:dyDescent="0.35">
      <c r="A25" s="6" t="s">
        <v>19</v>
      </c>
      <c r="B25" s="9">
        <v>99.960999999999999</v>
      </c>
      <c r="C25" s="9">
        <v>99.897999999999996</v>
      </c>
      <c r="D25" s="3"/>
      <c r="E25" s="8">
        <v>0.06</v>
      </c>
      <c r="G25" s="14">
        <f t="shared" si="0"/>
        <v>6.3000000000002387E-2</v>
      </c>
    </row>
    <row r="26" spans="1:7" ht="15.5" x14ac:dyDescent="0.35">
      <c r="A26" s="6" t="s">
        <v>20</v>
      </c>
      <c r="B26" s="9">
        <v>99.828000000000003</v>
      </c>
      <c r="C26" s="9">
        <v>99.805000000000007</v>
      </c>
      <c r="D26" s="3"/>
      <c r="E26" s="8">
        <v>0.02</v>
      </c>
      <c r="G26" s="14">
        <f t="shared" si="0"/>
        <v>2.2999999999996135E-2</v>
      </c>
    </row>
    <row r="27" spans="1:7" x14ac:dyDescent="0.35">
      <c r="A27" s="11" t="s">
        <v>21</v>
      </c>
      <c r="B27" s="9">
        <v>0.93</v>
      </c>
      <c r="C27" s="9">
        <v>0.96499999999999997</v>
      </c>
      <c r="D27" s="3"/>
      <c r="E27" s="10">
        <v>-3.63</v>
      </c>
      <c r="G27" s="14">
        <f t="shared" si="0"/>
        <v>-3.499999999999992E-2</v>
      </c>
    </row>
    <row r="28" spans="1:7" x14ac:dyDescent="0.35">
      <c r="A28" s="11" t="s">
        <v>22</v>
      </c>
      <c r="B28" s="9">
        <v>1.075</v>
      </c>
      <c r="C28" s="9">
        <v>1.095</v>
      </c>
      <c r="D28" s="3"/>
      <c r="E28" s="10">
        <v>-1.83</v>
      </c>
      <c r="G28" s="14">
        <f t="shared" si="0"/>
        <v>-2.0000000000000018E-2</v>
      </c>
    </row>
    <row r="29" spans="1:7" ht="15.5" x14ac:dyDescent="0.35">
      <c r="A29" s="6" t="s">
        <v>23</v>
      </c>
      <c r="B29" s="9">
        <v>105.78100000000001</v>
      </c>
      <c r="C29" s="9">
        <v>105.563</v>
      </c>
      <c r="D29" s="3"/>
      <c r="E29" s="8">
        <v>0.21</v>
      </c>
      <c r="G29" s="14">
        <f t="shared" si="0"/>
        <v>0.21800000000000352</v>
      </c>
    </row>
    <row r="30" spans="1:7" ht="15.5" x14ac:dyDescent="0.35">
      <c r="A30" s="6" t="s">
        <v>24</v>
      </c>
      <c r="B30" s="7">
        <v>15219.9</v>
      </c>
      <c r="C30" s="7">
        <v>15148.53</v>
      </c>
      <c r="D30" s="3"/>
      <c r="E30" s="8">
        <v>0.47</v>
      </c>
      <c r="G30" s="14">
        <f t="shared" si="0"/>
        <v>71.369999999998981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3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42909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9630.75</v>
      </c>
      <c r="C3" s="24">
        <v>9588.2000000000007</v>
      </c>
      <c r="D3" s="25"/>
      <c r="E3" s="26">
        <f>G3/B3</f>
        <v>4.4181398125794228E-3</v>
      </c>
      <c r="G3" s="14">
        <f>B3-C3</f>
        <v>42.549999999999272</v>
      </c>
    </row>
    <row r="4" spans="1:7" ht="15.5" x14ac:dyDescent="0.35">
      <c r="A4" s="23" t="s">
        <v>26</v>
      </c>
      <c r="B4" s="24">
        <v>2497.71</v>
      </c>
      <c r="C4" s="24">
        <v>2487.27</v>
      </c>
      <c r="D4" s="25"/>
      <c r="E4" s="26">
        <f>G4/B4</f>
        <v>4.179828723110391E-3</v>
      </c>
      <c r="G4" s="14">
        <f>B4-C4</f>
        <v>10.440000000000055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21394.76</v>
      </c>
      <c r="C7" s="7">
        <v>21397.29</v>
      </c>
      <c r="D7" s="3"/>
      <c r="E7" s="10">
        <v>-0.01</v>
      </c>
      <c r="G7" s="14">
        <f>B7-C7</f>
        <v>-2.5300000000024738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1743.95</v>
      </c>
      <c r="C9" s="7">
        <v>1736.45</v>
      </c>
      <c r="D9" s="3"/>
      <c r="E9" s="8">
        <v>0.43</v>
      </c>
      <c r="G9" s="14">
        <f t="shared" ref="G9:G30" si="0">B9-C9</f>
        <v>7.5</v>
      </c>
    </row>
    <row r="10" spans="1:7" ht="15.5" x14ac:dyDescent="0.35">
      <c r="A10" s="6" t="s">
        <v>7</v>
      </c>
      <c r="B10" s="7">
        <v>2438.1799999999998</v>
      </c>
      <c r="C10" s="7">
        <v>2434.61</v>
      </c>
      <c r="D10" s="3"/>
      <c r="E10" s="8">
        <v>0.15</v>
      </c>
      <c r="G10" s="14">
        <f t="shared" si="0"/>
        <v>3.569999999999709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1351.3309999999999</v>
      </c>
      <c r="C12" s="7">
        <v>1348.788</v>
      </c>
      <c r="D12" s="2"/>
      <c r="E12" s="8">
        <v>0.19</v>
      </c>
      <c r="G12" s="14">
        <f t="shared" si="0"/>
        <v>2.5429999999998927</v>
      </c>
    </row>
    <row r="13" spans="1:7" ht="15.5" x14ac:dyDescent="0.35">
      <c r="A13" s="6" t="s">
        <v>9</v>
      </c>
      <c r="B13" s="7">
        <v>1414.693</v>
      </c>
      <c r="C13" s="7">
        <v>1404.615</v>
      </c>
      <c r="D13" s="2"/>
      <c r="E13" s="8">
        <v>0.72</v>
      </c>
      <c r="G13" s="14">
        <f t="shared" si="0"/>
        <v>10.077999999999975</v>
      </c>
    </row>
    <row r="14" spans="1:7" ht="15.5" x14ac:dyDescent="0.35">
      <c r="A14" s="6" t="s">
        <v>10</v>
      </c>
      <c r="B14" s="7">
        <v>1444.4880000000001</v>
      </c>
      <c r="C14" s="7">
        <v>1441.2059999999999</v>
      </c>
      <c r="D14" s="2"/>
      <c r="E14" s="8">
        <v>0.23</v>
      </c>
      <c r="G14" s="14">
        <f t="shared" si="0"/>
        <v>3.2820000000001528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11733.09</v>
      </c>
      <c r="C16" s="7">
        <v>11712.61</v>
      </c>
      <c r="D16" s="3"/>
      <c r="E16" s="8">
        <v>0.17</v>
      </c>
      <c r="G16" s="14">
        <f t="shared" si="0"/>
        <v>20.479999999999563</v>
      </c>
    </row>
    <row r="17" spans="1:7" ht="15.5" x14ac:dyDescent="0.35">
      <c r="A17" s="6" t="s">
        <v>12</v>
      </c>
      <c r="B17" s="7">
        <v>6265.25</v>
      </c>
      <c r="C17" s="7">
        <v>6236.6850000000004</v>
      </c>
      <c r="D17" s="3"/>
      <c r="E17" s="8">
        <v>0.46</v>
      </c>
      <c r="G17" s="14">
        <f t="shared" si="0"/>
        <v>28.5649999999996</v>
      </c>
    </row>
    <row r="18" spans="1:7" ht="15.5" x14ac:dyDescent="0.35">
      <c r="A18" s="6" t="s">
        <v>13</v>
      </c>
      <c r="B18" s="7">
        <v>2589.877</v>
      </c>
      <c r="C18" s="7">
        <v>2573.529</v>
      </c>
      <c r="D18" s="3"/>
      <c r="E18" s="8">
        <v>0.64</v>
      </c>
      <c r="G18" s="14">
        <f t="shared" si="0"/>
        <v>16.347999999999956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1924.79</v>
      </c>
      <c r="C20" s="7">
        <v>1921.54</v>
      </c>
      <c r="D20" s="2"/>
      <c r="E20" s="8">
        <v>0.17</v>
      </c>
      <c r="G20" s="14">
        <f t="shared" si="0"/>
        <v>3.25</v>
      </c>
    </row>
    <row r="21" spans="1:7" ht="15.5" x14ac:dyDescent="0.35">
      <c r="A21" s="6" t="s">
        <v>15</v>
      </c>
      <c r="B21" s="7">
        <v>1888.69</v>
      </c>
      <c r="C21" s="7">
        <v>1886.03</v>
      </c>
      <c r="D21" s="2"/>
      <c r="E21" s="8">
        <v>0.14000000000000001</v>
      </c>
      <c r="G21" s="14">
        <f t="shared" si="0"/>
        <v>2.6600000000000819</v>
      </c>
    </row>
    <row r="22" spans="1:7" ht="31" x14ac:dyDescent="0.35">
      <c r="A22" s="6" t="s">
        <v>16</v>
      </c>
      <c r="B22" s="7">
        <v>1012.84</v>
      </c>
      <c r="C22" s="7">
        <v>1008.81</v>
      </c>
      <c r="D22" s="2"/>
      <c r="E22" s="8">
        <v>0.4</v>
      </c>
      <c r="G22" s="14">
        <f t="shared" si="0"/>
        <v>4.0300000000000864</v>
      </c>
    </row>
    <row r="23" spans="1:7" ht="15.5" x14ac:dyDescent="0.35">
      <c r="A23" s="6" t="s">
        <v>17</v>
      </c>
      <c r="B23" s="7">
        <v>1914.4</v>
      </c>
      <c r="C23" s="7">
        <v>1908.067</v>
      </c>
      <c r="D23" s="3"/>
      <c r="E23" s="8">
        <v>0.33</v>
      </c>
      <c r="G23" s="14">
        <f t="shared" si="0"/>
        <v>6.3330000000000837</v>
      </c>
    </row>
    <row r="24" spans="1:7" ht="15.5" x14ac:dyDescent="0.35">
      <c r="A24" s="6" t="s">
        <v>18</v>
      </c>
      <c r="B24" s="9">
        <v>102.063</v>
      </c>
      <c r="C24" s="9">
        <v>102.01600000000001</v>
      </c>
      <c r="D24" s="3"/>
      <c r="E24" s="8">
        <v>0.05</v>
      </c>
      <c r="G24" s="14">
        <f t="shared" si="0"/>
        <v>4.6999999999997044E-2</v>
      </c>
    </row>
    <row r="25" spans="1:7" ht="15.5" x14ac:dyDescent="0.35">
      <c r="A25" s="6" t="s">
        <v>19</v>
      </c>
      <c r="B25" s="9">
        <v>99.977000000000004</v>
      </c>
      <c r="C25" s="9">
        <v>99.960999999999999</v>
      </c>
      <c r="D25" s="3"/>
      <c r="E25" s="8">
        <v>0.02</v>
      </c>
      <c r="G25" s="14">
        <f t="shared" si="0"/>
        <v>1.6000000000005343E-2</v>
      </c>
    </row>
    <row r="26" spans="1:7" ht="15.5" x14ac:dyDescent="0.35">
      <c r="A26" s="6" t="s">
        <v>20</v>
      </c>
      <c r="B26" s="9">
        <v>99.828000000000003</v>
      </c>
      <c r="C26" s="9">
        <v>99.828000000000003</v>
      </c>
      <c r="D26" s="3"/>
      <c r="E26" s="8">
        <v>0</v>
      </c>
      <c r="G26" s="14">
        <f t="shared" si="0"/>
        <v>0</v>
      </c>
    </row>
    <row r="27" spans="1:7" x14ac:dyDescent="0.35">
      <c r="A27" s="11" t="s">
        <v>21</v>
      </c>
      <c r="B27" s="9">
        <v>0.94</v>
      </c>
      <c r="C27" s="9">
        <v>0.93</v>
      </c>
      <c r="D27" s="3"/>
      <c r="E27" s="8">
        <v>1.08</v>
      </c>
      <c r="G27" s="14">
        <f t="shared" si="0"/>
        <v>9.9999999999998979E-3</v>
      </c>
    </row>
    <row r="28" spans="1:7" x14ac:dyDescent="0.35">
      <c r="A28" s="11" t="s">
        <v>22</v>
      </c>
      <c r="B28" s="9">
        <v>1.07</v>
      </c>
      <c r="C28" s="9">
        <v>1.075</v>
      </c>
      <c r="D28" s="3"/>
      <c r="E28" s="10">
        <v>-0.47</v>
      </c>
      <c r="G28" s="14">
        <f t="shared" si="0"/>
        <v>-4.9999999999998934E-3</v>
      </c>
    </row>
    <row r="29" spans="1:7" ht="15.5" x14ac:dyDescent="0.35">
      <c r="A29" s="6" t="s">
        <v>23</v>
      </c>
      <c r="B29" s="9">
        <v>105.813</v>
      </c>
      <c r="C29" s="9">
        <v>105.78100000000001</v>
      </c>
      <c r="D29" s="3"/>
      <c r="E29" s="8">
        <v>0.03</v>
      </c>
      <c r="G29" s="14">
        <f t="shared" si="0"/>
        <v>3.1999999999996476E-2</v>
      </c>
    </row>
    <row r="30" spans="1:7" ht="15.5" x14ac:dyDescent="0.35">
      <c r="A30" s="6" t="s">
        <v>24</v>
      </c>
      <c r="B30" s="7">
        <v>15319.56</v>
      </c>
      <c r="C30" s="7">
        <v>15219.9</v>
      </c>
      <c r="D30" s="3"/>
      <c r="E30" s="8">
        <v>0.65</v>
      </c>
      <c r="G30" s="14">
        <f t="shared" si="0"/>
        <v>99.659999999999854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4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42912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9676.84</v>
      </c>
      <c r="C3" s="24">
        <v>9630.75</v>
      </c>
      <c r="D3" s="25"/>
      <c r="E3" s="26">
        <f>G3/B3</f>
        <v>4.7629184733859551E-3</v>
      </c>
      <c r="G3" s="14">
        <f>B3-C3</f>
        <v>46.090000000000146</v>
      </c>
    </row>
    <row r="4" spans="1:7" ht="15.5" x14ac:dyDescent="0.35">
      <c r="A4" s="23" t="s">
        <v>26</v>
      </c>
      <c r="B4" s="24">
        <v>2523.86</v>
      </c>
      <c r="C4" s="24">
        <v>2496.6</v>
      </c>
      <c r="D4" s="25"/>
      <c r="E4" s="26">
        <f>G4/B4</f>
        <v>1.0800916057150641E-2</v>
      </c>
      <c r="G4" s="14">
        <f>B4-C4</f>
        <v>27.260000000000218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21409.55</v>
      </c>
      <c r="C7" s="7">
        <v>21397.29</v>
      </c>
      <c r="D7" s="3"/>
      <c r="E7" s="8">
        <v>0.06</v>
      </c>
      <c r="G7" s="14">
        <f>B7-C7</f>
        <v>12.259999999998399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1750.75</v>
      </c>
      <c r="C9" s="7">
        <v>1736.45</v>
      </c>
      <c r="D9" s="3"/>
      <c r="E9" s="8">
        <v>0.82</v>
      </c>
      <c r="G9" s="14">
        <f t="shared" ref="G9:G30" si="0">B9-C9</f>
        <v>14.299999999999955</v>
      </c>
    </row>
    <row r="10" spans="1:7" ht="15.5" x14ac:dyDescent="0.35">
      <c r="A10" s="6" t="s">
        <v>7</v>
      </c>
      <c r="B10" s="7">
        <v>2439</v>
      </c>
      <c r="C10" s="7">
        <v>2434.61</v>
      </c>
      <c r="D10" s="3"/>
      <c r="E10" s="8">
        <v>0.18</v>
      </c>
      <c r="G10" s="14">
        <f t="shared" si="0"/>
        <v>4.3899999999998727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1352.18</v>
      </c>
      <c r="C12" s="7">
        <v>1348.788</v>
      </c>
      <c r="D12" s="2"/>
      <c r="E12" s="8">
        <v>0.25</v>
      </c>
      <c r="G12" s="14">
        <f t="shared" si="0"/>
        <v>3.3920000000000528</v>
      </c>
    </row>
    <row r="13" spans="1:7" ht="15.5" x14ac:dyDescent="0.35">
      <c r="A13" s="6" t="s">
        <v>9</v>
      </c>
      <c r="B13" s="7">
        <v>1416.607</v>
      </c>
      <c r="C13" s="7">
        <v>1404.615</v>
      </c>
      <c r="D13" s="2"/>
      <c r="E13" s="8">
        <v>0.85</v>
      </c>
      <c r="G13" s="14">
        <f t="shared" si="0"/>
        <v>11.991999999999962</v>
      </c>
    </row>
    <row r="14" spans="1:7" ht="15.5" x14ac:dyDescent="0.35">
      <c r="A14" s="6" t="s">
        <v>10</v>
      </c>
      <c r="B14" s="7">
        <v>1445.481</v>
      </c>
      <c r="C14" s="7">
        <v>1441.2059999999999</v>
      </c>
      <c r="D14" s="2"/>
      <c r="E14" s="8">
        <v>0.3</v>
      </c>
      <c r="G14" s="14">
        <f t="shared" si="0"/>
        <v>4.2750000000000909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11758.9</v>
      </c>
      <c r="C16" s="7">
        <v>11712.61</v>
      </c>
      <c r="D16" s="3"/>
      <c r="E16" s="8">
        <v>0.4</v>
      </c>
      <c r="G16" s="14">
        <f t="shared" si="0"/>
        <v>46.289999999999054</v>
      </c>
    </row>
    <row r="17" spans="1:7" ht="15.5" x14ac:dyDescent="0.35">
      <c r="A17" s="6" t="s">
        <v>12</v>
      </c>
      <c r="B17" s="7">
        <v>6247.1490000000003</v>
      </c>
      <c r="C17" s="7">
        <v>6236.6850000000004</v>
      </c>
      <c r="D17" s="3"/>
      <c r="E17" s="8">
        <v>0.17</v>
      </c>
      <c r="G17" s="14">
        <f t="shared" si="0"/>
        <v>10.463999999999942</v>
      </c>
    </row>
    <row r="18" spans="1:7" ht="15.5" x14ac:dyDescent="0.35">
      <c r="A18" s="6" t="s">
        <v>13</v>
      </c>
      <c r="B18" s="7">
        <v>2583.8180000000002</v>
      </c>
      <c r="C18" s="7">
        <v>2573.529</v>
      </c>
      <c r="D18" s="3"/>
      <c r="E18" s="8">
        <v>0.4</v>
      </c>
      <c r="G18" s="14">
        <f t="shared" si="0"/>
        <v>10.289000000000215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1927.49</v>
      </c>
      <c r="C20" s="7">
        <v>1921.54</v>
      </c>
      <c r="D20" s="2"/>
      <c r="E20" s="8">
        <v>0.31</v>
      </c>
      <c r="G20" s="14">
        <f t="shared" si="0"/>
        <v>5.9500000000000455</v>
      </c>
    </row>
    <row r="21" spans="1:7" ht="15.5" x14ac:dyDescent="0.35">
      <c r="A21" s="6" t="s">
        <v>15</v>
      </c>
      <c r="B21" s="7">
        <v>1894.5</v>
      </c>
      <c r="C21" s="7">
        <v>1886.03</v>
      </c>
      <c r="D21" s="2"/>
      <c r="E21" s="8">
        <v>0.45</v>
      </c>
      <c r="G21" s="14">
        <f t="shared" si="0"/>
        <v>8.4700000000000273</v>
      </c>
    </row>
    <row r="22" spans="1:7" ht="31" x14ac:dyDescent="0.35">
      <c r="A22" s="6" t="s">
        <v>16</v>
      </c>
      <c r="B22" s="7">
        <v>1019.11</v>
      </c>
      <c r="C22" s="7">
        <v>1008.81</v>
      </c>
      <c r="D22" s="2"/>
      <c r="E22" s="8">
        <v>1.02</v>
      </c>
      <c r="G22" s="14">
        <f t="shared" si="0"/>
        <v>10.300000000000068</v>
      </c>
    </row>
    <row r="23" spans="1:7" ht="15.5" x14ac:dyDescent="0.35">
      <c r="A23" s="6" t="s">
        <v>17</v>
      </c>
      <c r="B23" s="7">
        <v>1920.26</v>
      </c>
      <c r="C23" s="7">
        <v>1908.067</v>
      </c>
      <c r="D23" s="3"/>
      <c r="E23" s="8">
        <v>0.64</v>
      </c>
      <c r="G23" s="14">
        <f t="shared" si="0"/>
        <v>12.192999999999984</v>
      </c>
    </row>
    <row r="24" spans="1:7" ht="15.5" x14ac:dyDescent="0.35">
      <c r="A24" s="6" t="s">
        <v>18</v>
      </c>
      <c r="B24" s="9">
        <v>102.125</v>
      </c>
      <c r="C24" s="9">
        <v>102.01600000000001</v>
      </c>
      <c r="D24" s="3"/>
      <c r="E24" s="8">
        <v>0.11</v>
      </c>
      <c r="G24" s="14">
        <f t="shared" si="0"/>
        <v>0.10899999999999466</v>
      </c>
    </row>
    <row r="25" spans="1:7" ht="15.5" x14ac:dyDescent="0.35">
      <c r="A25" s="6" t="s">
        <v>19</v>
      </c>
      <c r="B25" s="9">
        <v>99.977000000000004</v>
      </c>
      <c r="C25" s="9">
        <v>99.960999999999999</v>
      </c>
      <c r="D25" s="3"/>
      <c r="E25" s="8">
        <v>0.02</v>
      </c>
      <c r="G25" s="14">
        <f t="shared" si="0"/>
        <v>1.6000000000005343E-2</v>
      </c>
    </row>
    <row r="26" spans="1:7" ht="15.5" x14ac:dyDescent="0.35">
      <c r="A26" s="6" t="s">
        <v>20</v>
      </c>
      <c r="B26" s="9">
        <v>99.843999999999994</v>
      </c>
      <c r="C26" s="9">
        <v>99.828000000000003</v>
      </c>
      <c r="D26" s="3"/>
      <c r="E26" s="8">
        <v>0.02</v>
      </c>
      <c r="G26" s="14">
        <f t="shared" si="0"/>
        <v>1.5999999999991132E-2</v>
      </c>
    </row>
    <row r="27" spans="1:7" x14ac:dyDescent="0.35">
      <c r="A27" s="11" t="s">
        <v>21</v>
      </c>
      <c r="B27" s="9">
        <v>0.94499999999999995</v>
      </c>
      <c r="C27" s="9">
        <v>0.93</v>
      </c>
      <c r="D27" s="3"/>
      <c r="E27" s="8">
        <v>1.61</v>
      </c>
      <c r="G27" s="14">
        <f t="shared" si="0"/>
        <v>1.4999999999999902E-2</v>
      </c>
    </row>
    <row r="28" spans="1:7" x14ac:dyDescent="0.35">
      <c r="A28" s="11" t="s">
        <v>22</v>
      </c>
      <c r="B28" s="9">
        <v>1.07</v>
      </c>
      <c r="C28" s="9">
        <v>1.075</v>
      </c>
      <c r="D28" s="3"/>
      <c r="E28" s="10">
        <v>-0.47</v>
      </c>
      <c r="G28" s="14">
        <f t="shared" si="0"/>
        <v>-4.9999999999998934E-3</v>
      </c>
    </row>
    <row r="29" spans="1:7" ht="15.5" x14ac:dyDescent="0.35">
      <c r="A29" s="6" t="s">
        <v>23</v>
      </c>
      <c r="B29" s="9">
        <v>106.203</v>
      </c>
      <c r="C29" s="9">
        <v>105.78100000000001</v>
      </c>
      <c r="D29" s="3"/>
      <c r="E29" s="8">
        <v>0.4</v>
      </c>
      <c r="G29" s="14">
        <f t="shared" si="0"/>
        <v>0.42199999999999704</v>
      </c>
    </row>
    <row r="30" spans="1:7" ht="15.5" x14ac:dyDescent="0.35">
      <c r="A30" s="6" t="s">
        <v>24</v>
      </c>
      <c r="B30" s="7">
        <v>15316.02</v>
      </c>
      <c r="C30" s="7">
        <v>15219.9</v>
      </c>
      <c r="D30" s="3"/>
      <c r="E30" s="8">
        <v>0.63</v>
      </c>
      <c r="G30" s="14">
        <f t="shared" si="0"/>
        <v>96.1200000000008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5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42913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9606.7099999999991</v>
      </c>
      <c r="C3" s="24">
        <v>9676.84</v>
      </c>
      <c r="D3" s="25"/>
      <c r="E3" s="26">
        <f>G3/B3</f>
        <v>-7.3001058635059268E-3</v>
      </c>
      <c r="G3" s="14">
        <f>B3-C3</f>
        <v>-70.130000000001019</v>
      </c>
    </row>
    <row r="4" spans="1:7" ht="15.5" x14ac:dyDescent="0.35">
      <c r="A4" s="23" t="s">
        <v>26</v>
      </c>
      <c r="B4" s="24">
        <v>2517.54</v>
      </c>
      <c r="C4" s="24">
        <v>2523.86</v>
      </c>
      <c r="D4" s="25"/>
      <c r="E4" s="26">
        <f>G4/B4</f>
        <v>-2.5103871239385129E-3</v>
      </c>
      <c r="G4" s="14">
        <f>B4-C4</f>
        <v>-6.3200000000001637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21310.66</v>
      </c>
      <c r="C7" s="7">
        <v>21409.55</v>
      </c>
      <c r="D7" s="3"/>
      <c r="E7" s="10">
        <v>-0.46</v>
      </c>
      <c r="G7" s="14">
        <f>B7-C7</f>
        <v>-98.889999999999418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1736.65</v>
      </c>
      <c r="C9" s="7">
        <v>1750.75</v>
      </c>
      <c r="D9" s="3"/>
      <c r="E9" s="10">
        <v>-0.81</v>
      </c>
      <c r="G9" s="14">
        <f t="shared" ref="G9:G30" si="0">B9-C9</f>
        <v>-14.099999999999909</v>
      </c>
    </row>
    <row r="10" spans="1:7" ht="15.5" x14ac:dyDescent="0.35">
      <c r="A10" s="6" t="s">
        <v>7</v>
      </c>
      <c r="B10" s="7">
        <v>2419.63</v>
      </c>
      <c r="C10" s="7">
        <v>2439</v>
      </c>
      <c r="D10" s="3"/>
      <c r="E10" s="10">
        <v>-0.79</v>
      </c>
      <c r="G10" s="14">
        <f t="shared" si="0"/>
        <v>-19.369999999999891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1341.1790000000001</v>
      </c>
      <c r="C12" s="7">
        <v>1352.18</v>
      </c>
      <c r="D12" s="2"/>
      <c r="E12" s="10">
        <v>-0.81</v>
      </c>
      <c r="G12" s="14">
        <f t="shared" si="0"/>
        <v>-11.000999999999976</v>
      </c>
    </row>
    <row r="13" spans="1:7" ht="15.5" x14ac:dyDescent="0.35">
      <c r="A13" s="6" t="s">
        <v>9</v>
      </c>
      <c r="B13" s="7">
        <v>1403.5350000000001</v>
      </c>
      <c r="C13" s="7">
        <v>1416.607</v>
      </c>
      <c r="D13" s="2"/>
      <c r="E13" s="10">
        <v>-0.92</v>
      </c>
      <c r="G13" s="14">
        <f t="shared" si="0"/>
        <v>-13.071999999999889</v>
      </c>
    </row>
    <row r="14" spans="1:7" ht="15.5" x14ac:dyDescent="0.35">
      <c r="A14" s="6" t="s">
        <v>10</v>
      </c>
      <c r="B14" s="7">
        <v>1433.614</v>
      </c>
      <c r="C14" s="7">
        <v>1445.481</v>
      </c>
      <c r="D14" s="2"/>
      <c r="E14" s="10">
        <v>-0.82</v>
      </c>
      <c r="G14" s="14">
        <f t="shared" si="0"/>
        <v>-11.866999999999962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11717.53</v>
      </c>
      <c r="C16" s="7">
        <v>11758.9</v>
      </c>
      <c r="D16" s="3"/>
      <c r="E16" s="10">
        <v>-0.35</v>
      </c>
      <c r="G16" s="14">
        <f t="shared" si="0"/>
        <v>-41.369999999998981</v>
      </c>
    </row>
    <row r="17" spans="1:7" ht="15.5" x14ac:dyDescent="0.35">
      <c r="A17" s="6" t="s">
        <v>12</v>
      </c>
      <c r="B17" s="7">
        <v>6146.6229999999996</v>
      </c>
      <c r="C17" s="7">
        <v>6247.1490000000003</v>
      </c>
      <c r="D17" s="3"/>
      <c r="E17" s="10">
        <v>-1.61</v>
      </c>
      <c r="G17" s="14">
        <f t="shared" si="0"/>
        <v>-100.52600000000075</v>
      </c>
    </row>
    <row r="18" spans="1:7" ht="15.5" x14ac:dyDescent="0.35">
      <c r="A18" s="6" t="s">
        <v>13</v>
      </c>
      <c r="B18" s="7">
        <v>2568.038</v>
      </c>
      <c r="C18" s="7">
        <v>2583.8180000000002</v>
      </c>
      <c r="D18" s="3"/>
      <c r="E18" s="10">
        <v>-0.61</v>
      </c>
      <c r="G18" s="14">
        <f t="shared" si="0"/>
        <v>-15.7800000000002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1917.57</v>
      </c>
      <c r="C20" s="7">
        <v>1927.49</v>
      </c>
      <c r="D20" s="2"/>
      <c r="E20" s="10">
        <v>-0.51</v>
      </c>
      <c r="G20" s="14">
        <f t="shared" si="0"/>
        <v>-9.9200000000000728</v>
      </c>
    </row>
    <row r="21" spans="1:7" ht="15.5" x14ac:dyDescent="0.35">
      <c r="A21" s="6" t="s">
        <v>15</v>
      </c>
      <c r="B21" s="7">
        <v>1892.88</v>
      </c>
      <c r="C21" s="7">
        <v>1894.5</v>
      </c>
      <c r="D21" s="2"/>
      <c r="E21" s="10">
        <v>-0.09</v>
      </c>
      <c r="G21" s="14">
        <f t="shared" si="0"/>
        <v>-1.6199999999998909</v>
      </c>
    </row>
    <row r="22" spans="1:7" ht="31" x14ac:dyDescent="0.35">
      <c r="A22" s="6" t="s">
        <v>16</v>
      </c>
      <c r="B22" s="7">
        <v>1015.08</v>
      </c>
      <c r="C22" s="7">
        <v>1019.11</v>
      </c>
      <c r="D22" s="2"/>
      <c r="E22" s="10">
        <v>-0.4</v>
      </c>
      <c r="G22" s="14">
        <f t="shared" si="0"/>
        <v>-4.0299999999999727</v>
      </c>
    </row>
    <row r="23" spans="1:7" ht="15.5" x14ac:dyDescent="0.35">
      <c r="A23" s="6" t="s">
        <v>17</v>
      </c>
      <c r="B23" s="7">
        <v>1904.38</v>
      </c>
      <c r="C23" s="7">
        <v>1920.26</v>
      </c>
      <c r="D23" s="3"/>
      <c r="E23" s="10">
        <v>-0.83</v>
      </c>
      <c r="G23" s="14">
        <f t="shared" si="0"/>
        <v>-15.879999999999882</v>
      </c>
    </row>
    <row r="24" spans="1:7" ht="15.5" x14ac:dyDescent="0.35">
      <c r="A24" s="6" t="s">
        <v>18</v>
      </c>
      <c r="B24" s="9">
        <v>101.51600000000001</v>
      </c>
      <c r="C24" s="9">
        <v>102.125</v>
      </c>
      <c r="D24" s="3"/>
      <c r="E24" s="10">
        <v>-0.6</v>
      </c>
      <c r="G24" s="14">
        <f t="shared" si="0"/>
        <v>-0.60899999999999466</v>
      </c>
    </row>
    <row r="25" spans="1:7" ht="15.5" x14ac:dyDescent="0.35">
      <c r="A25" s="6" t="s">
        <v>19</v>
      </c>
      <c r="B25" s="9">
        <v>99.703000000000003</v>
      </c>
      <c r="C25" s="9">
        <v>99.977000000000004</v>
      </c>
      <c r="D25" s="3"/>
      <c r="E25" s="10">
        <v>-0.27</v>
      </c>
      <c r="G25" s="14">
        <f t="shared" si="0"/>
        <v>-0.27400000000000091</v>
      </c>
    </row>
    <row r="26" spans="1:7" ht="15.5" x14ac:dyDescent="0.35">
      <c r="A26" s="6" t="s">
        <v>20</v>
      </c>
      <c r="B26" s="9">
        <v>99.766000000000005</v>
      </c>
      <c r="C26" s="9">
        <v>99.843999999999994</v>
      </c>
      <c r="D26" s="3"/>
      <c r="E26" s="10">
        <v>-0.08</v>
      </c>
      <c r="G26" s="14">
        <f t="shared" si="0"/>
        <v>-7.7999999999988745E-2</v>
      </c>
    </row>
    <row r="27" spans="1:7" x14ac:dyDescent="0.35">
      <c r="A27" s="11" t="s">
        <v>21</v>
      </c>
      <c r="B27" s="9">
        <v>0.98</v>
      </c>
      <c r="C27" s="9">
        <v>0.94499999999999995</v>
      </c>
      <c r="D27" s="3"/>
      <c r="E27" s="8">
        <v>3.7</v>
      </c>
      <c r="G27" s="14">
        <f t="shared" si="0"/>
        <v>3.5000000000000031E-2</v>
      </c>
    </row>
    <row r="28" spans="1:7" x14ac:dyDescent="0.35">
      <c r="A28" s="11" t="s">
        <v>22</v>
      </c>
      <c r="B28" s="9">
        <v>1.1000000000000001</v>
      </c>
      <c r="C28" s="9">
        <v>1.07</v>
      </c>
      <c r="D28" s="3"/>
      <c r="E28" s="8">
        <v>2.8</v>
      </c>
      <c r="G28" s="14">
        <f t="shared" si="0"/>
        <v>3.0000000000000027E-2</v>
      </c>
    </row>
    <row r="29" spans="1:7" ht="15.5" x14ac:dyDescent="0.35">
      <c r="A29" s="6" t="s">
        <v>23</v>
      </c>
      <c r="B29" s="9">
        <v>105</v>
      </c>
      <c r="C29" s="9">
        <v>106.203</v>
      </c>
      <c r="D29" s="3"/>
      <c r="E29" s="10">
        <v>-1.1299999999999999</v>
      </c>
      <c r="G29" s="14">
        <f t="shared" si="0"/>
        <v>-1.203000000000003</v>
      </c>
    </row>
    <row r="30" spans="1:7" ht="15.5" x14ac:dyDescent="0.35">
      <c r="A30" s="6" t="s">
        <v>24</v>
      </c>
      <c r="B30" s="7">
        <v>15281.22</v>
      </c>
      <c r="C30" s="7">
        <v>15316.02</v>
      </c>
      <c r="D30" s="3"/>
      <c r="E30" s="10">
        <v>-0.23</v>
      </c>
      <c r="G30" s="14">
        <f t="shared" si="0"/>
        <v>-34.800000000001091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6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42914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9621.39</v>
      </c>
      <c r="C3" s="24">
        <v>9606.7099999999991</v>
      </c>
      <c r="D3" s="25"/>
      <c r="E3" s="26">
        <f>G3/B3</f>
        <v>1.5257670669207143E-3</v>
      </c>
      <c r="G3" s="14">
        <f>B3-C3</f>
        <v>14.680000000000291</v>
      </c>
    </row>
    <row r="4" spans="1:7" ht="15.5" x14ac:dyDescent="0.35">
      <c r="A4" s="23" t="s">
        <v>26</v>
      </c>
      <c r="B4" s="24">
        <v>2530.87</v>
      </c>
      <c r="C4" s="24">
        <v>2517.54</v>
      </c>
      <c r="D4" s="25"/>
      <c r="E4" s="26">
        <f>G4/B4</f>
        <v>5.266963534278698E-3</v>
      </c>
      <c r="G4" s="14">
        <f>B4-C4</f>
        <v>13.329999999999927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21454.61</v>
      </c>
      <c r="C7" s="7">
        <v>21310.66</v>
      </c>
      <c r="D7" s="3"/>
      <c r="E7" s="8">
        <v>0.68</v>
      </c>
      <c r="G7" s="14">
        <f>B7-C7</f>
        <v>143.95000000000073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1755.78</v>
      </c>
      <c r="C9" s="7">
        <v>1736.65</v>
      </c>
      <c r="D9" s="3"/>
      <c r="E9" s="8">
        <v>1.1000000000000001</v>
      </c>
      <c r="G9" s="14">
        <f t="shared" ref="G9:G30" si="0">B9-C9</f>
        <v>19.129999999999882</v>
      </c>
    </row>
    <row r="10" spans="1:7" ht="15.5" x14ac:dyDescent="0.35">
      <c r="A10" s="6" t="s">
        <v>7</v>
      </c>
      <c r="B10" s="7">
        <v>2440.5500000000002</v>
      </c>
      <c r="C10" s="7">
        <v>2419.63</v>
      </c>
      <c r="D10" s="3"/>
      <c r="E10" s="8">
        <v>0.86</v>
      </c>
      <c r="G10" s="14">
        <f t="shared" si="0"/>
        <v>20.920000000000073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1352.9259999999999</v>
      </c>
      <c r="C12" s="7">
        <v>1341.1790000000001</v>
      </c>
      <c r="D12" s="2"/>
      <c r="E12" s="8">
        <v>0.88</v>
      </c>
      <c r="G12" s="14">
        <f t="shared" si="0"/>
        <v>11.746999999999844</v>
      </c>
    </row>
    <row r="13" spans="1:7" ht="15.5" x14ac:dyDescent="0.35">
      <c r="A13" s="6" t="s">
        <v>9</v>
      </c>
      <c r="B13" s="7">
        <v>1425.107</v>
      </c>
      <c r="C13" s="7">
        <v>1403.5350000000001</v>
      </c>
      <c r="D13" s="2"/>
      <c r="E13" s="8">
        <v>1.54</v>
      </c>
      <c r="G13" s="14">
        <f t="shared" si="0"/>
        <v>21.571999999999889</v>
      </c>
    </row>
    <row r="14" spans="1:7" ht="15.5" x14ac:dyDescent="0.35">
      <c r="A14" s="6" t="s">
        <v>10</v>
      </c>
      <c r="B14" s="7">
        <v>1446.873</v>
      </c>
      <c r="C14" s="7">
        <v>1433.614</v>
      </c>
      <c r="D14" s="2"/>
      <c r="E14" s="8">
        <v>0.92</v>
      </c>
      <c r="G14" s="14">
        <f t="shared" si="0"/>
        <v>13.259000000000015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11812.72</v>
      </c>
      <c r="C16" s="7">
        <v>11717.53</v>
      </c>
      <c r="D16" s="3"/>
      <c r="E16" s="8">
        <v>0.81</v>
      </c>
      <c r="G16" s="14">
        <f t="shared" si="0"/>
        <v>95.18999999999869</v>
      </c>
    </row>
    <row r="17" spans="1:7" ht="15.5" x14ac:dyDescent="0.35">
      <c r="A17" s="6" t="s">
        <v>12</v>
      </c>
      <c r="B17" s="7">
        <v>6234.415</v>
      </c>
      <c r="C17" s="7">
        <v>6146.6229999999996</v>
      </c>
      <c r="D17" s="3"/>
      <c r="E17" s="8">
        <v>1.43</v>
      </c>
      <c r="G17" s="14">
        <f t="shared" si="0"/>
        <v>87.792000000000371</v>
      </c>
    </row>
    <row r="18" spans="1:7" ht="15.5" x14ac:dyDescent="0.35">
      <c r="A18" s="6" t="s">
        <v>13</v>
      </c>
      <c r="B18" s="7">
        <v>2586.556</v>
      </c>
      <c r="C18" s="7">
        <v>2568.038</v>
      </c>
      <c r="D18" s="3"/>
      <c r="E18" s="8">
        <v>0.72</v>
      </c>
      <c r="G18" s="14">
        <f t="shared" si="0"/>
        <v>18.518000000000029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1931.73</v>
      </c>
      <c r="C20" s="7">
        <v>1917.57</v>
      </c>
      <c r="D20" s="2"/>
      <c r="E20" s="8">
        <v>0.74</v>
      </c>
      <c r="G20" s="14">
        <f t="shared" si="0"/>
        <v>14.160000000000082</v>
      </c>
    </row>
    <row r="21" spans="1:7" ht="15.5" x14ac:dyDescent="0.35">
      <c r="A21" s="6" t="s">
        <v>15</v>
      </c>
      <c r="B21" s="7">
        <v>1902.19</v>
      </c>
      <c r="C21" s="7">
        <v>1892.88</v>
      </c>
      <c r="D21" s="2"/>
      <c r="E21" s="8">
        <v>0.49</v>
      </c>
      <c r="G21" s="14">
        <f t="shared" si="0"/>
        <v>9.3099999999999454</v>
      </c>
    </row>
    <row r="22" spans="1:7" ht="31" x14ac:dyDescent="0.35">
      <c r="A22" s="6" t="s">
        <v>16</v>
      </c>
      <c r="B22" s="7">
        <v>1013.86</v>
      </c>
      <c r="C22" s="7">
        <v>1015.08</v>
      </c>
      <c r="D22" s="2"/>
      <c r="E22" s="10">
        <v>-0.12</v>
      </c>
      <c r="G22" s="14">
        <f t="shared" si="0"/>
        <v>-1.2200000000000273</v>
      </c>
    </row>
    <row r="23" spans="1:7" ht="15.5" x14ac:dyDescent="0.35">
      <c r="A23" s="6" t="s">
        <v>17</v>
      </c>
      <c r="B23" s="7">
        <v>1919.75</v>
      </c>
      <c r="C23" s="7">
        <v>1904.3820000000001</v>
      </c>
      <c r="D23" s="3"/>
      <c r="E23" s="8">
        <v>0.81</v>
      </c>
      <c r="G23" s="14">
        <f t="shared" si="0"/>
        <v>15.367999999999938</v>
      </c>
    </row>
    <row r="24" spans="1:7" ht="15.5" x14ac:dyDescent="0.35">
      <c r="A24" s="6" t="s">
        <v>18</v>
      </c>
      <c r="B24" s="9">
        <v>101.35899999999999</v>
      </c>
      <c r="C24" s="9">
        <v>101.51600000000001</v>
      </c>
      <c r="D24" s="3"/>
      <c r="E24" s="10">
        <v>-0.15</v>
      </c>
      <c r="G24" s="14">
        <f t="shared" si="0"/>
        <v>-0.15700000000001069</v>
      </c>
    </row>
    <row r="25" spans="1:7" ht="15.5" x14ac:dyDescent="0.35">
      <c r="A25" s="6" t="s">
        <v>19</v>
      </c>
      <c r="B25" s="9">
        <v>99.688000000000002</v>
      </c>
      <c r="C25" s="9">
        <v>99.703000000000003</v>
      </c>
      <c r="D25" s="3"/>
      <c r="E25" s="10">
        <v>-0.02</v>
      </c>
      <c r="G25" s="14">
        <f t="shared" si="0"/>
        <v>-1.5000000000000568E-2</v>
      </c>
    </row>
    <row r="26" spans="1:7" ht="15.5" x14ac:dyDescent="0.35">
      <c r="A26" s="6" t="s">
        <v>20</v>
      </c>
      <c r="B26" s="9">
        <v>99.805000000000007</v>
      </c>
      <c r="C26" s="9">
        <v>99.766000000000005</v>
      </c>
      <c r="D26" s="3"/>
      <c r="E26" s="8">
        <v>0.04</v>
      </c>
      <c r="G26" s="14">
        <f t="shared" si="0"/>
        <v>3.9000000000001478E-2</v>
      </c>
    </row>
    <row r="27" spans="1:7" x14ac:dyDescent="0.35">
      <c r="A27" s="11" t="s">
        <v>21</v>
      </c>
      <c r="B27" s="9">
        <v>0.995</v>
      </c>
      <c r="C27" s="9">
        <v>0.98</v>
      </c>
      <c r="D27" s="3"/>
      <c r="E27" s="8">
        <v>1.53</v>
      </c>
      <c r="G27" s="14">
        <f t="shared" si="0"/>
        <v>1.5000000000000013E-2</v>
      </c>
    </row>
    <row r="28" spans="1:7" x14ac:dyDescent="0.35">
      <c r="A28" s="11" t="s">
        <v>22</v>
      </c>
      <c r="B28" s="9">
        <v>1.095</v>
      </c>
      <c r="C28" s="9">
        <v>1.1000000000000001</v>
      </c>
      <c r="D28" s="3"/>
      <c r="E28" s="10">
        <v>-0.45</v>
      </c>
      <c r="G28" s="14">
        <f t="shared" si="0"/>
        <v>-5.0000000000001155E-3</v>
      </c>
    </row>
    <row r="29" spans="1:7" ht="15.5" x14ac:dyDescent="0.35">
      <c r="A29" s="6" t="s">
        <v>23</v>
      </c>
      <c r="B29" s="9">
        <v>104.578</v>
      </c>
      <c r="C29" s="9">
        <v>105</v>
      </c>
      <c r="D29" s="3"/>
      <c r="E29" s="10">
        <v>-0.4</v>
      </c>
      <c r="G29" s="14">
        <f t="shared" si="0"/>
        <v>-0.42199999999999704</v>
      </c>
    </row>
    <row r="30" spans="1:7" ht="15.5" x14ac:dyDescent="0.35">
      <c r="A30" s="6" t="s">
        <v>24</v>
      </c>
      <c r="B30" s="7">
        <v>15355.58</v>
      </c>
      <c r="C30" s="7">
        <v>15281.22</v>
      </c>
      <c r="D30" s="3"/>
      <c r="E30" s="8">
        <v>0.49</v>
      </c>
      <c r="G30" s="14">
        <f t="shared" si="0"/>
        <v>74.360000000000582</v>
      </c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7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42915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9536.34</v>
      </c>
      <c r="C3" s="24">
        <v>9621.39</v>
      </c>
      <c r="D3" s="25"/>
      <c r="E3" s="26">
        <f>G3/B3</f>
        <v>-8.9185159086189528E-3</v>
      </c>
      <c r="G3" s="14">
        <f>B3-C3</f>
        <v>-85.049999999999272</v>
      </c>
    </row>
    <row r="4" spans="1:7" ht="15.5" x14ac:dyDescent="0.35">
      <c r="A4" s="23" t="s">
        <v>26</v>
      </c>
      <c r="B4" s="24">
        <v>2539.4699999999998</v>
      </c>
      <c r="C4" s="24">
        <v>2530.87</v>
      </c>
      <c r="D4" s="25"/>
      <c r="E4" s="26">
        <f>G4/B4</f>
        <v>3.3865334105147569E-3</v>
      </c>
      <c r="G4" s="14">
        <f>B4-C4</f>
        <v>8.5999999999999091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21287.03</v>
      </c>
      <c r="C7" s="7">
        <v>21454.61</v>
      </c>
      <c r="D7" s="3"/>
      <c r="E7" s="10">
        <v>-0.78</v>
      </c>
      <c r="G7" s="14">
        <f>B7-C7</f>
        <v>-167.58000000000175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1743.99</v>
      </c>
      <c r="C9" s="7">
        <v>1755.78</v>
      </c>
      <c r="D9" s="3"/>
      <c r="E9" s="10">
        <v>-0.67</v>
      </c>
      <c r="G9" s="14">
        <f t="shared" ref="G9:G30" si="0">B9-C9</f>
        <v>-11.789999999999964</v>
      </c>
    </row>
    <row r="10" spans="1:7" ht="15.5" x14ac:dyDescent="0.35">
      <c r="A10" s="6" t="s">
        <v>7</v>
      </c>
      <c r="B10" s="7">
        <v>2419.8000000000002</v>
      </c>
      <c r="C10" s="7">
        <v>2440.5500000000002</v>
      </c>
      <c r="D10" s="3"/>
      <c r="E10" s="10">
        <v>-0.85</v>
      </c>
      <c r="G10" s="14">
        <f t="shared" si="0"/>
        <v>-20.75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1341.405</v>
      </c>
      <c r="C12" s="7">
        <v>1352.9259999999999</v>
      </c>
      <c r="D12" s="2"/>
      <c r="E12" s="10">
        <v>-0.85</v>
      </c>
      <c r="G12" s="14">
        <f t="shared" si="0"/>
        <v>-11.520999999999958</v>
      </c>
    </row>
    <row r="13" spans="1:7" ht="15.5" x14ac:dyDescent="0.35">
      <c r="A13" s="6" t="s">
        <v>9</v>
      </c>
      <c r="B13" s="7">
        <v>1416.1679999999999</v>
      </c>
      <c r="C13" s="7">
        <v>1425.107</v>
      </c>
      <c r="D13" s="2"/>
      <c r="E13" s="10">
        <v>-0.63</v>
      </c>
      <c r="G13" s="14">
        <f t="shared" si="0"/>
        <v>-8.9390000000000782</v>
      </c>
    </row>
    <row r="14" spans="1:7" ht="15.5" x14ac:dyDescent="0.35">
      <c r="A14" s="6" t="s">
        <v>10</v>
      </c>
      <c r="B14" s="7">
        <v>1434.7950000000001</v>
      </c>
      <c r="C14" s="7">
        <v>1446.873</v>
      </c>
      <c r="D14" s="2"/>
      <c r="E14" s="10">
        <v>-0.83</v>
      </c>
      <c r="G14" s="14">
        <f t="shared" si="0"/>
        <v>-12.077999999999975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11740.14</v>
      </c>
      <c r="C16" s="7">
        <v>11812.72</v>
      </c>
      <c r="D16" s="3"/>
      <c r="E16" s="10">
        <v>-0.61</v>
      </c>
      <c r="G16" s="14">
        <f t="shared" si="0"/>
        <v>-72.579999999999927</v>
      </c>
    </row>
    <row r="17" spans="1:7" ht="15.5" x14ac:dyDescent="0.35">
      <c r="A17" s="6" t="s">
        <v>12</v>
      </c>
      <c r="B17" s="7">
        <v>6144.3509999999997</v>
      </c>
      <c r="C17" s="7">
        <v>6234.415</v>
      </c>
      <c r="D17" s="3"/>
      <c r="E17" s="10">
        <v>-1.44</v>
      </c>
      <c r="G17" s="14">
        <f t="shared" si="0"/>
        <v>-90.064000000000306</v>
      </c>
    </row>
    <row r="18" spans="1:7" ht="15.5" x14ac:dyDescent="0.35">
      <c r="A18" s="6" t="s">
        <v>13</v>
      </c>
      <c r="B18" s="7">
        <v>2551.154</v>
      </c>
      <c r="C18" s="7">
        <v>2586.556</v>
      </c>
      <c r="D18" s="3"/>
      <c r="E18" s="10">
        <v>-1.37</v>
      </c>
      <c r="G18" s="14">
        <f t="shared" si="0"/>
        <v>-35.402000000000044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1920.78</v>
      </c>
      <c r="C20" s="7">
        <v>1931.73</v>
      </c>
      <c r="D20" s="2"/>
      <c r="E20" s="10">
        <v>-0.56999999999999995</v>
      </c>
      <c r="G20" s="14">
        <f t="shared" si="0"/>
        <v>-10.950000000000045</v>
      </c>
    </row>
    <row r="21" spans="1:7" ht="15.5" x14ac:dyDescent="0.35">
      <c r="A21" s="6" t="s">
        <v>15</v>
      </c>
      <c r="B21" s="7">
        <v>1899</v>
      </c>
      <c r="C21" s="7">
        <v>1902.19</v>
      </c>
      <c r="D21" s="2"/>
      <c r="E21" s="10">
        <v>-0.17</v>
      </c>
      <c r="G21" s="14">
        <f t="shared" si="0"/>
        <v>-3.1900000000000546</v>
      </c>
    </row>
    <row r="22" spans="1:7" ht="31" x14ac:dyDescent="0.35">
      <c r="A22" s="6" t="s">
        <v>16</v>
      </c>
      <c r="B22" s="7">
        <v>1011.92</v>
      </c>
      <c r="C22" s="7">
        <v>1013.86</v>
      </c>
      <c r="D22" s="2"/>
      <c r="E22" s="10">
        <v>-0.19</v>
      </c>
      <c r="G22" s="14">
        <f t="shared" si="0"/>
        <v>-1.9400000000000546</v>
      </c>
    </row>
    <row r="23" spans="1:7" ht="15.5" x14ac:dyDescent="0.35">
      <c r="A23" s="6" t="s">
        <v>17</v>
      </c>
      <c r="B23" s="7">
        <v>1904.76</v>
      </c>
      <c r="C23" s="7">
        <v>1919.751</v>
      </c>
      <c r="D23" s="3"/>
      <c r="E23" s="10">
        <v>-0.78</v>
      </c>
      <c r="G23" s="14">
        <f t="shared" si="0"/>
        <v>-14.990999999999985</v>
      </c>
    </row>
    <row r="24" spans="1:7" ht="15.5" x14ac:dyDescent="0.35">
      <c r="A24" s="6" t="s">
        <v>18</v>
      </c>
      <c r="B24" s="9">
        <v>100.953</v>
      </c>
      <c r="C24" s="9">
        <v>101.35899999999999</v>
      </c>
      <c r="D24" s="3"/>
      <c r="E24" s="10">
        <v>-0.4</v>
      </c>
      <c r="G24" s="14">
        <f t="shared" si="0"/>
        <v>-0.4059999999999917</v>
      </c>
    </row>
    <row r="25" spans="1:7" ht="15.5" x14ac:dyDescent="0.35">
      <c r="A25" s="6" t="s">
        <v>19</v>
      </c>
      <c r="B25" s="9">
        <v>99.531000000000006</v>
      </c>
      <c r="C25" s="9">
        <v>99.688000000000002</v>
      </c>
      <c r="D25" s="3"/>
      <c r="E25" s="10">
        <v>-0.16</v>
      </c>
      <c r="G25" s="14">
        <f t="shared" si="0"/>
        <v>-0.15699999999999648</v>
      </c>
    </row>
    <row r="26" spans="1:7" ht="15.5" x14ac:dyDescent="0.35">
      <c r="A26" s="6" t="s">
        <v>20</v>
      </c>
      <c r="B26" s="9">
        <v>99.766000000000005</v>
      </c>
      <c r="C26" s="9">
        <v>99.805000000000007</v>
      </c>
      <c r="D26" s="3"/>
      <c r="E26" s="10">
        <v>-0.04</v>
      </c>
      <c r="G26" s="14">
        <f t="shared" si="0"/>
        <v>-3.9000000000001478E-2</v>
      </c>
    </row>
    <row r="27" spans="1:7" x14ac:dyDescent="0.35">
      <c r="A27" s="11" t="s">
        <v>21</v>
      </c>
      <c r="B27" s="9">
        <v>1</v>
      </c>
      <c r="C27" s="9">
        <v>0.995</v>
      </c>
      <c r="D27" s="3"/>
      <c r="E27" s="8">
        <v>0.5</v>
      </c>
      <c r="G27" s="14">
        <f t="shared" si="0"/>
        <v>5.0000000000000044E-3</v>
      </c>
    </row>
    <row r="28" spans="1:7" x14ac:dyDescent="0.35">
      <c r="A28" s="11" t="s">
        <v>22</v>
      </c>
      <c r="B28" s="9">
        <v>1.115</v>
      </c>
      <c r="C28" s="9">
        <v>1.095</v>
      </c>
      <c r="D28" s="3"/>
      <c r="E28" s="8">
        <v>1.83</v>
      </c>
      <c r="G28" s="14">
        <f t="shared" si="0"/>
        <v>2.0000000000000018E-2</v>
      </c>
    </row>
    <row r="29" spans="1:7" ht="15.5" x14ac:dyDescent="0.35">
      <c r="A29" s="6" t="s">
        <v>23</v>
      </c>
      <c r="B29" s="9">
        <v>103.688</v>
      </c>
      <c r="C29" s="9">
        <v>104.578</v>
      </c>
      <c r="D29" s="3"/>
      <c r="E29" s="10">
        <v>-0.85</v>
      </c>
      <c r="G29" s="14">
        <f t="shared" si="0"/>
        <v>-0.89000000000000057</v>
      </c>
    </row>
    <row r="30" spans="1:7" ht="15.5" x14ac:dyDescent="0.35">
      <c r="A30" s="6" t="s">
        <v>24</v>
      </c>
      <c r="B30" s="7">
        <v>15213.42</v>
      </c>
      <c r="C30" s="7">
        <v>15355.58</v>
      </c>
      <c r="D30" s="3"/>
      <c r="E30" s="10">
        <v>-0.93</v>
      </c>
      <c r="G30" s="14">
        <f t="shared" si="0"/>
        <v>-142.15999999999985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8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42916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9518.11</v>
      </c>
      <c r="C3" s="24">
        <v>9536.34</v>
      </c>
      <c r="D3" s="25"/>
      <c r="E3" s="26">
        <f>G3/B3</f>
        <v>-1.9152962090162398E-3</v>
      </c>
      <c r="G3" s="14">
        <f>B3-C3</f>
        <v>-18.229999999999563</v>
      </c>
    </row>
    <row r="4" spans="1:7" ht="15.5" x14ac:dyDescent="0.35">
      <c r="A4" s="23" t="s">
        <v>26</v>
      </c>
      <c r="B4" s="24">
        <v>2538.83</v>
      </c>
      <c r="C4" s="24">
        <v>2539.4699999999998</v>
      </c>
      <c r="D4" s="25"/>
      <c r="E4" s="26">
        <f>G4/B4</f>
        <v>-2.5208462165638215E-4</v>
      </c>
      <c r="G4" s="14">
        <f>B4-C4</f>
        <v>-0.63999999999987267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21349.63</v>
      </c>
      <c r="C7" s="7">
        <v>21287.03</v>
      </c>
      <c r="D7" s="3"/>
      <c r="E7" s="8">
        <v>0.28999999999999998</v>
      </c>
      <c r="G7" s="14">
        <f>B7-C7</f>
        <v>62.600000000002183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1746.53</v>
      </c>
      <c r="C9" s="7">
        <v>1743.99</v>
      </c>
      <c r="D9" s="3"/>
      <c r="E9" s="8">
        <v>0.15</v>
      </c>
      <c r="G9" s="14">
        <f t="shared" ref="G9:G30" si="0">B9-C9</f>
        <v>2.5399999999999636</v>
      </c>
    </row>
    <row r="10" spans="1:7" ht="15.5" x14ac:dyDescent="0.35">
      <c r="A10" s="6" t="s">
        <v>7</v>
      </c>
      <c r="B10" s="7">
        <v>2423.4699999999998</v>
      </c>
      <c r="C10" s="7">
        <v>2419.8000000000002</v>
      </c>
      <c r="D10" s="3"/>
      <c r="E10" s="8">
        <v>0.15</v>
      </c>
      <c r="G10" s="14">
        <f t="shared" si="0"/>
        <v>3.669999999999618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1343.5550000000001</v>
      </c>
      <c r="C12" s="7">
        <v>1341.405</v>
      </c>
      <c r="D12" s="2"/>
      <c r="E12" s="8">
        <v>0.16</v>
      </c>
      <c r="G12" s="14">
        <f t="shared" si="0"/>
        <v>2.1500000000000909</v>
      </c>
    </row>
    <row r="13" spans="1:7" ht="15.5" x14ac:dyDescent="0.35">
      <c r="A13" s="6" t="s">
        <v>9</v>
      </c>
      <c r="B13" s="7">
        <v>1415.0889999999999</v>
      </c>
      <c r="C13" s="7">
        <v>1416.1679999999999</v>
      </c>
      <c r="D13" s="2"/>
      <c r="E13" s="10">
        <v>-0.08</v>
      </c>
      <c r="G13" s="14">
        <f t="shared" si="0"/>
        <v>-1.0789999999999509</v>
      </c>
    </row>
    <row r="14" spans="1:7" ht="15.5" x14ac:dyDescent="0.35">
      <c r="A14" s="6" t="s">
        <v>10</v>
      </c>
      <c r="B14" s="7">
        <v>1436.848</v>
      </c>
      <c r="C14" s="7">
        <v>1434.7950000000001</v>
      </c>
      <c r="D14" s="2"/>
      <c r="E14" s="8">
        <v>0.14000000000000001</v>
      </c>
      <c r="G14" s="14">
        <f t="shared" si="0"/>
        <v>2.0529999999998836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11761.73</v>
      </c>
      <c r="C16" s="7">
        <v>11740.14</v>
      </c>
      <c r="D16" s="3"/>
      <c r="E16" s="8">
        <v>0.18</v>
      </c>
      <c r="G16" s="14">
        <f t="shared" si="0"/>
        <v>21.590000000000146</v>
      </c>
    </row>
    <row r="17" spans="1:7" ht="15.5" x14ac:dyDescent="0.35">
      <c r="A17" s="6" t="s">
        <v>12</v>
      </c>
      <c r="B17" s="7">
        <v>6140.42</v>
      </c>
      <c r="C17" s="7">
        <v>6144.3509999999997</v>
      </c>
      <c r="D17" s="3"/>
      <c r="E17" s="10">
        <v>-0.06</v>
      </c>
      <c r="G17" s="14">
        <f t="shared" si="0"/>
        <v>-3.9309999999995853</v>
      </c>
    </row>
    <row r="18" spans="1:7" ht="15.5" x14ac:dyDescent="0.35">
      <c r="A18" s="6" t="s">
        <v>13</v>
      </c>
      <c r="B18" s="7">
        <v>2556.2179999999998</v>
      </c>
      <c r="C18" s="7">
        <v>2551.154</v>
      </c>
      <c r="D18" s="3"/>
      <c r="E18" s="8">
        <v>0.2</v>
      </c>
      <c r="G18" s="14">
        <f t="shared" si="0"/>
        <v>5.0639999999998508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1917.19</v>
      </c>
      <c r="C20" s="7">
        <v>1920.78</v>
      </c>
      <c r="D20" s="2"/>
      <c r="E20" s="10">
        <v>-0.19</v>
      </c>
      <c r="G20" s="14">
        <f t="shared" si="0"/>
        <v>-3.5899999999999181</v>
      </c>
    </row>
    <row r="21" spans="1:7" ht="15.5" x14ac:dyDescent="0.35">
      <c r="A21" s="6" t="s">
        <v>15</v>
      </c>
      <c r="B21" s="7">
        <v>1884.83</v>
      </c>
      <c r="C21" s="7">
        <v>1899</v>
      </c>
      <c r="D21" s="2"/>
      <c r="E21" s="10">
        <v>-0.75</v>
      </c>
      <c r="G21" s="14">
        <f t="shared" si="0"/>
        <v>-14.170000000000073</v>
      </c>
    </row>
    <row r="22" spans="1:7" ht="31" x14ac:dyDescent="0.35">
      <c r="A22" s="6" t="s">
        <v>16</v>
      </c>
      <c r="B22" s="7">
        <v>1010.79</v>
      </c>
      <c r="C22" s="7">
        <v>1011.92</v>
      </c>
      <c r="D22" s="2"/>
      <c r="E22" s="10">
        <v>-0.11</v>
      </c>
      <c r="G22" s="14">
        <f t="shared" si="0"/>
        <v>-1.1299999999999955</v>
      </c>
    </row>
    <row r="23" spans="1:7" ht="15.5" x14ac:dyDescent="0.35">
      <c r="A23" s="6" t="s">
        <v>17</v>
      </c>
      <c r="B23" s="7">
        <v>1910.01</v>
      </c>
      <c r="C23" s="7">
        <v>1904.7619999999999</v>
      </c>
      <c r="D23" s="3"/>
      <c r="E23" s="8">
        <v>0.28000000000000003</v>
      </c>
      <c r="G23" s="14">
        <f t="shared" si="0"/>
        <v>5.2480000000000473</v>
      </c>
    </row>
    <row r="24" spans="1:7" ht="15.5" x14ac:dyDescent="0.35">
      <c r="A24" s="6" t="s">
        <v>18</v>
      </c>
      <c r="B24" s="9">
        <v>100.672</v>
      </c>
      <c r="C24" s="9">
        <v>100.953</v>
      </c>
      <c r="D24" s="3"/>
      <c r="E24" s="10">
        <v>-0.28000000000000003</v>
      </c>
      <c r="G24" s="14">
        <f t="shared" si="0"/>
        <v>-0.28100000000000591</v>
      </c>
    </row>
    <row r="25" spans="1:7" ht="15.5" x14ac:dyDescent="0.35">
      <c r="A25" s="6" t="s">
        <v>19</v>
      </c>
      <c r="B25" s="9">
        <v>99.358999999999995</v>
      </c>
      <c r="C25" s="9">
        <v>99.531000000000006</v>
      </c>
      <c r="D25" s="3"/>
      <c r="E25" s="10">
        <v>-0.17</v>
      </c>
      <c r="G25" s="14">
        <f t="shared" si="0"/>
        <v>-0.17200000000001125</v>
      </c>
    </row>
    <row r="26" spans="1:7" ht="15.5" x14ac:dyDescent="0.35">
      <c r="A26" s="6" t="s">
        <v>20</v>
      </c>
      <c r="B26" s="9">
        <v>99.742000000000004</v>
      </c>
      <c r="C26" s="9">
        <v>99.766000000000005</v>
      </c>
      <c r="D26" s="3"/>
      <c r="E26" s="10">
        <v>-0.02</v>
      </c>
      <c r="G26" s="14">
        <f t="shared" si="0"/>
        <v>-2.4000000000000909E-2</v>
      </c>
    </row>
    <row r="27" spans="1:7" x14ac:dyDescent="0.35">
      <c r="A27" s="11" t="s">
        <v>21</v>
      </c>
      <c r="B27" s="9">
        <v>0.995</v>
      </c>
      <c r="C27" s="9">
        <v>1</v>
      </c>
      <c r="D27" s="3"/>
      <c r="E27" s="10">
        <v>-0.5</v>
      </c>
      <c r="G27" s="14">
        <f t="shared" si="0"/>
        <v>-5.0000000000000044E-3</v>
      </c>
    </row>
    <row r="28" spans="1:7" x14ac:dyDescent="0.35">
      <c r="A28" s="11" t="s">
        <v>22</v>
      </c>
      <c r="B28" s="9">
        <v>1.1200000000000001</v>
      </c>
      <c r="C28" s="9">
        <v>1.115</v>
      </c>
      <c r="D28" s="3"/>
      <c r="E28" s="8">
        <v>0.45</v>
      </c>
      <c r="G28" s="14">
        <f t="shared" si="0"/>
        <v>5.0000000000001155E-3</v>
      </c>
    </row>
    <row r="29" spans="1:7" ht="15.5" x14ac:dyDescent="0.35">
      <c r="A29" s="6" t="s">
        <v>23</v>
      </c>
      <c r="B29" s="9">
        <v>103.39100000000001</v>
      </c>
      <c r="C29" s="9">
        <v>103.688</v>
      </c>
      <c r="D29" s="3"/>
      <c r="E29" s="10">
        <v>-0.28999999999999998</v>
      </c>
      <c r="G29" s="14">
        <f t="shared" si="0"/>
        <v>-0.29699999999999704</v>
      </c>
    </row>
    <row r="30" spans="1:7" ht="15.5" x14ac:dyDescent="0.35">
      <c r="A30" s="6" t="s">
        <v>24</v>
      </c>
      <c r="B30" s="7">
        <v>15182.19</v>
      </c>
      <c r="C30" s="7">
        <v>15213.42</v>
      </c>
      <c r="D30" s="3"/>
      <c r="E30" s="10">
        <v>-0.21</v>
      </c>
      <c r="G30" s="14">
        <f t="shared" si="0"/>
        <v>-31.229999999999563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9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1.54296875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42919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9663.61</v>
      </c>
      <c r="C3" s="24">
        <v>9518.11</v>
      </c>
      <c r="D3" s="25"/>
      <c r="E3" s="26">
        <f>G3/B3</f>
        <v>1.5056485102358227E-2</v>
      </c>
      <c r="G3" s="14">
        <f>B3-C3</f>
        <v>145.5</v>
      </c>
    </row>
    <row r="4" spans="1:7" ht="15.5" x14ac:dyDescent="0.35">
      <c r="A4" s="23" t="s">
        <v>26</v>
      </c>
      <c r="B4" s="24">
        <v>2556.2800000000002</v>
      </c>
      <c r="C4" s="24">
        <v>2538.83</v>
      </c>
      <c r="D4" s="25"/>
      <c r="E4" s="26">
        <f>G4/B4</f>
        <v>6.8263257546122766E-3</v>
      </c>
      <c r="G4" s="14">
        <f>B4-C4</f>
        <v>17.450000000000273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21479.27</v>
      </c>
      <c r="C7" s="7">
        <v>21349.63</v>
      </c>
      <c r="D7" s="3"/>
      <c r="E7" s="10">
        <v>0.61</v>
      </c>
      <c r="G7" s="14">
        <f>B7-C7</f>
        <v>129.63999999999942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1758.04</v>
      </c>
      <c r="C9" s="7">
        <v>1746.53</v>
      </c>
      <c r="D9" s="3"/>
      <c r="E9" s="10">
        <v>0.66</v>
      </c>
      <c r="G9" s="14">
        <f t="shared" ref="G9:G30" si="0">B9-C9</f>
        <v>11.509999999999991</v>
      </c>
    </row>
    <row r="10" spans="1:7" ht="15.5" x14ac:dyDescent="0.35">
      <c r="A10" s="6" t="s">
        <v>7</v>
      </c>
      <c r="B10" s="7">
        <v>2429.0100000000002</v>
      </c>
      <c r="C10" s="7">
        <v>2423.4699999999998</v>
      </c>
      <c r="D10" s="3"/>
      <c r="E10" s="10">
        <v>0.23</v>
      </c>
      <c r="G10" s="14">
        <f t="shared" si="0"/>
        <v>5.5400000000004184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1346.8589999999999</v>
      </c>
      <c r="C12" s="7">
        <v>1343.5550000000001</v>
      </c>
      <c r="D12" s="2"/>
      <c r="E12" s="10">
        <v>0.25</v>
      </c>
      <c r="G12" s="14">
        <f t="shared" si="0"/>
        <v>3.3039999999998599</v>
      </c>
    </row>
    <row r="13" spans="1:7" ht="15.5" x14ac:dyDescent="0.35">
      <c r="A13" s="6" t="s">
        <v>9</v>
      </c>
      <c r="B13" s="7">
        <v>1426.682</v>
      </c>
      <c r="C13" s="7">
        <v>1415.0889999999999</v>
      </c>
      <c r="D13" s="2"/>
      <c r="E13" s="10">
        <v>0.82</v>
      </c>
      <c r="G13" s="14">
        <f t="shared" si="0"/>
        <v>11.593000000000075</v>
      </c>
    </row>
    <row r="14" spans="1:7" ht="15.5" x14ac:dyDescent="0.35">
      <c r="A14" s="6" t="s">
        <v>10</v>
      </c>
      <c r="B14" s="7">
        <v>1441.002</v>
      </c>
      <c r="C14" s="7">
        <v>1436.848</v>
      </c>
      <c r="D14" s="2"/>
      <c r="E14" s="10">
        <v>0.28999999999999998</v>
      </c>
      <c r="G14" s="14">
        <f t="shared" si="0"/>
        <v>4.1539999999999964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11835.72</v>
      </c>
      <c r="C16" s="7">
        <v>11761.73</v>
      </c>
      <c r="D16" s="3"/>
      <c r="E16" s="10">
        <v>0.63</v>
      </c>
      <c r="G16" s="14">
        <f t="shared" si="0"/>
        <v>73.989999999999782</v>
      </c>
    </row>
    <row r="17" spans="1:7" ht="15.5" x14ac:dyDescent="0.35">
      <c r="A17" s="6" t="s">
        <v>12</v>
      </c>
      <c r="B17" s="7">
        <v>6110.06</v>
      </c>
      <c r="C17" s="7">
        <v>6140.42</v>
      </c>
      <c r="D17" s="3"/>
      <c r="E17" s="10">
        <v>-0.49</v>
      </c>
      <c r="G17" s="14">
        <f t="shared" si="0"/>
        <v>-30.359999999999673</v>
      </c>
    </row>
    <row r="18" spans="1:7" ht="15.5" x14ac:dyDescent="0.35">
      <c r="A18" s="6" t="s">
        <v>13</v>
      </c>
      <c r="B18" s="7">
        <v>2552.1979999999999</v>
      </c>
      <c r="C18" s="7">
        <v>2556.2179999999998</v>
      </c>
      <c r="D18" s="3"/>
      <c r="E18" s="10">
        <v>-0.16</v>
      </c>
      <c r="G18" s="14">
        <f t="shared" si="0"/>
        <v>-4.0199999999999818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1920.58</v>
      </c>
      <c r="C20" s="7">
        <v>1917.19</v>
      </c>
      <c r="D20" s="2"/>
      <c r="E20" s="10">
        <v>0.18</v>
      </c>
      <c r="G20" s="14">
        <f t="shared" si="0"/>
        <v>3.3899999999998727</v>
      </c>
    </row>
    <row r="21" spans="1:7" ht="15.5" x14ac:dyDescent="0.35">
      <c r="A21" s="6" t="s">
        <v>15</v>
      </c>
      <c r="B21" s="7">
        <v>1887.67</v>
      </c>
      <c r="C21" s="7">
        <v>1884.83</v>
      </c>
      <c r="D21" s="2"/>
      <c r="E21" s="10">
        <v>0.15</v>
      </c>
      <c r="G21" s="14">
        <f t="shared" si="0"/>
        <v>2.8400000000001455</v>
      </c>
    </row>
    <row r="22" spans="1:7" ht="31" x14ac:dyDescent="0.35">
      <c r="A22" s="6" t="s">
        <v>16</v>
      </c>
      <c r="B22" s="7">
        <v>1014.24</v>
      </c>
      <c r="C22" s="7">
        <v>1010.79</v>
      </c>
      <c r="D22" s="2"/>
      <c r="E22" s="10">
        <v>0.34</v>
      </c>
      <c r="G22" s="14">
        <f t="shared" si="0"/>
        <v>3.4500000000000455</v>
      </c>
    </row>
    <row r="23" spans="1:7" ht="15.5" x14ac:dyDescent="0.35">
      <c r="A23" s="6" t="s">
        <v>17</v>
      </c>
      <c r="B23" s="7">
        <v>1918.73</v>
      </c>
      <c r="C23" s="7">
        <v>1910.008</v>
      </c>
      <c r="D23" s="3"/>
      <c r="E23" s="10">
        <v>0.46</v>
      </c>
      <c r="G23" s="14">
        <f t="shared" si="0"/>
        <v>8.72199999999998</v>
      </c>
    </row>
    <row r="24" spans="1:7" ht="15.5" x14ac:dyDescent="0.35">
      <c r="A24" s="6" t="s">
        <v>18</v>
      </c>
      <c r="B24" s="9">
        <v>100.203</v>
      </c>
      <c r="C24" s="9">
        <v>100.672</v>
      </c>
      <c r="D24" s="3"/>
      <c r="E24" s="10">
        <v>-0.47</v>
      </c>
      <c r="G24" s="14">
        <f t="shared" si="0"/>
        <v>-0.46899999999999409</v>
      </c>
    </row>
    <row r="25" spans="1:7" ht="15.5" x14ac:dyDescent="0.35">
      <c r="A25" s="6" t="s">
        <v>19</v>
      </c>
      <c r="B25" s="9">
        <v>99.141000000000005</v>
      </c>
      <c r="C25" s="9">
        <v>99.358999999999995</v>
      </c>
      <c r="D25" s="3"/>
      <c r="E25" s="10">
        <v>-0.22</v>
      </c>
      <c r="G25" s="14">
        <f t="shared" si="0"/>
        <v>-0.21799999999998931</v>
      </c>
    </row>
    <row r="26" spans="1:7" ht="15.5" x14ac:dyDescent="0.35">
      <c r="A26" s="6" t="s">
        <v>20</v>
      </c>
      <c r="B26" s="9">
        <v>99.688000000000002</v>
      </c>
      <c r="C26" s="9">
        <v>99.742000000000004</v>
      </c>
      <c r="D26" s="3"/>
      <c r="E26" s="10">
        <v>-0.05</v>
      </c>
      <c r="G26" s="14">
        <f t="shared" si="0"/>
        <v>-5.4000000000002046E-2</v>
      </c>
    </row>
    <row r="27" spans="1:7" x14ac:dyDescent="0.35">
      <c r="A27" s="11" t="s">
        <v>21</v>
      </c>
      <c r="B27" s="9">
        <v>1.0149999999999999</v>
      </c>
      <c r="C27" s="9">
        <v>0.995</v>
      </c>
      <c r="D27" s="3"/>
      <c r="E27" s="8">
        <v>2.0099999999999998</v>
      </c>
      <c r="G27" s="14">
        <f t="shared" si="0"/>
        <v>1.9999999999999907E-2</v>
      </c>
    </row>
    <row r="28" spans="1:7" x14ac:dyDescent="0.35">
      <c r="A28" s="11" t="s">
        <v>22</v>
      </c>
      <c r="B28" s="9">
        <v>1.115</v>
      </c>
      <c r="C28" s="9">
        <v>1.1200000000000001</v>
      </c>
      <c r="D28" s="3"/>
      <c r="E28" s="8">
        <v>-0.45</v>
      </c>
      <c r="G28" s="14">
        <f t="shared" si="0"/>
        <v>-5.0000000000001155E-3</v>
      </c>
    </row>
    <row r="29" spans="1:7" ht="15.5" x14ac:dyDescent="0.35">
      <c r="A29" s="6" t="s">
        <v>23</v>
      </c>
      <c r="B29" s="9">
        <v>102.64100000000001</v>
      </c>
      <c r="C29" s="9">
        <v>103.39100000000001</v>
      </c>
      <c r="D29" s="3"/>
      <c r="E29" s="10">
        <v>-0.73</v>
      </c>
      <c r="G29" s="14">
        <f t="shared" si="0"/>
        <v>-0.75</v>
      </c>
    </row>
    <row r="30" spans="1:7" ht="15.5" x14ac:dyDescent="0.35">
      <c r="A30" s="6" t="s">
        <v>24</v>
      </c>
      <c r="B30" s="7"/>
      <c r="C30" s="7">
        <v>15182.19</v>
      </c>
      <c r="D30" s="3"/>
      <c r="E30" s="10">
        <v>-100</v>
      </c>
      <c r="G30" s="14">
        <f t="shared" si="0"/>
        <v>-15182.19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0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0.81640625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42921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9516.44</v>
      </c>
      <c r="C3" s="24">
        <v>9664.01</v>
      </c>
      <c r="D3" s="25"/>
      <c r="E3" s="26">
        <f>G3/B3</f>
        <v>-1.550684919991086E-2</v>
      </c>
      <c r="G3" s="14">
        <f>B3-C3</f>
        <v>-147.56999999999971</v>
      </c>
    </row>
    <row r="4" spans="1:7" ht="15.5" x14ac:dyDescent="0.35">
      <c r="A4" s="23" t="s">
        <v>26</v>
      </c>
      <c r="B4" s="24">
        <v>2551.0100000000002</v>
      </c>
      <c r="C4" s="24">
        <v>2547.6</v>
      </c>
      <c r="D4" s="25"/>
      <c r="E4" s="26">
        <f>G4/B4</f>
        <v>1.3367254538399727E-3</v>
      </c>
      <c r="G4" s="14">
        <f>B4-C4</f>
        <v>3.4100000000003092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21478.17</v>
      </c>
      <c r="C7" s="7">
        <v>21479.27</v>
      </c>
      <c r="D7" s="3"/>
      <c r="E7" s="10">
        <v>-0.01</v>
      </c>
      <c r="G7" s="14">
        <f>B7-C7</f>
        <v>-1.1000000000021828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1751.94</v>
      </c>
      <c r="C9" s="7">
        <v>1758.04</v>
      </c>
      <c r="D9" s="3"/>
      <c r="E9" s="10">
        <v>-0.35</v>
      </c>
      <c r="G9" s="14">
        <f t="shared" ref="G9:G30" si="0">B9-C9</f>
        <v>-6.0999999999999091</v>
      </c>
    </row>
    <row r="10" spans="1:7" ht="15.5" x14ac:dyDescent="0.35">
      <c r="A10" s="6" t="s">
        <v>7</v>
      </c>
      <c r="B10" s="7">
        <v>2432.58</v>
      </c>
      <c r="C10" s="7">
        <v>2429.0100000000002</v>
      </c>
      <c r="D10" s="3"/>
      <c r="E10" s="8">
        <v>0.15</v>
      </c>
      <c r="G10" s="14">
        <f t="shared" si="0"/>
        <v>3.569999999999709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1348.1869999999999</v>
      </c>
      <c r="C12" s="7">
        <v>1346.8589999999999</v>
      </c>
      <c r="D12" s="2"/>
      <c r="E12" s="8">
        <v>0.1</v>
      </c>
      <c r="G12" s="14">
        <f t="shared" si="0"/>
        <v>1.3279999999999745</v>
      </c>
    </row>
    <row r="13" spans="1:7" ht="15.5" x14ac:dyDescent="0.35">
      <c r="A13" s="6" t="s">
        <v>9</v>
      </c>
      <c r="B13" s="7">
        <v>1420.1569999999999</v>
      </c>
      <c r="C13" s="7">
        <v>1426.682</v>
      </c>
      <c r="D13" s="2"/>
      <c r="E13" s="10">
        <v>-0.46</v>
      </c>
      <c r="G13" s="14">
        <f t="shared" si="0"/>
        <v>-6.5250000000000909</v>
      </c>
    </row>
    <row r="14" spans="1:7" ht="15.5" x14ac:dyDescent="0.35">
      <c r="A14" s="6" t="s">
        <v>10</v>
      </c>
      <c r="B14" s="7">
        <v>1441.81</v>
      </c>
      <c r="C14" s="7">
        <v>1441.002</v>
      </c>
      <c r="D14" s="2"/>
      <c r="E14" s="8">
        <v>0.06</v>
      </c>
      <c r="G14" s="14">
        <f t="shared" si="0"/>
        <v>0.80799999999999272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11809.42</v>
      </c>
      <c r="C16" s="7">
        <v>11835.72</v>
      </c>
      <c r="D16" s="3"/>
      <c r="E16" s="10">
        <v>-0.22</v>
      </c>
      <c r="G16" s="14">
        <f t="shared" si="0"/>
        <v>-26.299999999999272</v>
      </c>
    </row>
    <row r="17" spans="1:7" ht="15.5" x14ac:dyDescent="0.35">
      <c r="A17" s="6" t="s">
        <v>12</v>
      </c>
      <c r="B17" s="7">
        <v>6150.8549999999996</v>
      </c>
      <c r="C17" s="7">
        <v>6110.06</v>
      </c>
      <c r="D17" s="3"/>
      <c r="E17" s="8">
        <v>0.67</v>
      </c>
      <c r="G17" s="14">
        <f t="shared" si="0"/>
        <v>40.794999999999163</v>
      </c>
    </row>
    <row r="18" spans="1:7" ht="15.5" x14ac:dyDescent="0.35">
      <c r="A18" s="6" t="s">
        <v>13</v>
      </c>
      <c r="B18" s="7">
        <v>2535.1819999999998</v>
      </c>
      <c r="C18" s="7">
        <v>2552.1979999999999</v>
      </c>
      <c r="D18" s="3"/>
      <c r="E18" s="10">
        <v>-0.67</v>
      </c>
      <c r="G18" s="14">
        <f t="shared" si="0"/>
        <v>-17.016000000000076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1920.33</v>
      </c>
      <c r="C20" s="7">
        <v>1920.58</v>
      </c>
      <c r="D20" s="2"/>
      <c r="E20" s="10">
        <v>-0.01</v>
      </c>
      <c r="G20" s="14">
        <f t="shared" si="0"/>
        <v>-0.25</v>
      </c>
    </row>
    <row r="21" spans="1:7" ht="15.5" x14ac:dyDescent="0.35">
      <c r="A21" s="6" t="s">
        <v>15</v>
      </c>
      <c r="B21" s="7">
        <v>1885.22</v>
      </c>
      <c r="C21" s="7">
        <v>1887.67</v>
      </c>
      <c r="D21" s="2"/>
      <c r="E21" s="10">
        <v>-0.13</v>
      </c>
      <c r="G21" s="14">
        <f t="shared" si="0"/>
        <v>-2.4500000000000455</v>
      </c>
    </row>
    <row r="22" spans="1:7" ht="31" x14ac:dyDescent="0.35">
      <c r="A22" s="6" t="s">
        <v>16</v>
      </c>
      <c r="B22" s="7">
        <v>1009.85</v>
      </c>
      <c r="C22" s="7">
        <v>1014.24</v>
      </c>
      <c r="D22" s="2"/>
      <c r="E22" s="10">
        <v>-0.43</v>
      </c>
      <c r="G22" s="14">
        <f t="shared" si="0"/>
        <v>-4.3899999999999864</v>
      </c>
    </row>
    <row r="23" spans="1:7" ht="15.5" x14ac:dyDescent="0.35">
      <c r="A23" s="6" t="s">
        <v>17</v>
      </c>
      <c r="B23" s="7">
        <v>1913.98</v>
      </c>
      <c r="C23" s="7">
        <v>1918.73</v>
      </c>
      <c r="D23" s="3"/>
      <c r="E23" s="10">
        <v>-0.25</v>
      </c>
      <c r="G23" s="14">
        <f t="shared" si="0"/>
        <v>-4.75</v>
      </c>
    </row>
    <row r="24" spans="1:7" ht="15.5" x14ac:dyDescent="0.35">
      <c r="A24" s="6" t="s">
        <v>18</v>
      </c>
      <c r="B24" s="9">
        <v>100.422</v>
      </c>
      <c r="C24" s="9">
        <v>100.203</v>
      </c>
      <c r="D24" s="3"/>
      <c r="E24" s="8">
        <v>0.22</v>
      </c>
      <c r="G24" s="14">
        <f t="shared" si="0"/>
        <v>0.21899999999999409</v>
      </c>
    </row>
    <row r="25" spans="1:7" ht="15.5" x14ac:dyDescent="0.35">
      <c r="A25" s="6" t="s">
        <v>19</v>
      </c>
      <c r="B25" s="9">
        <v>99.210999999999999</v>
      </c>
      <c r="C25" s="9">
        <v>99.141000000000005</v>
      </c>
      <c r="D25" s="3"/>
      <c r="E25" s="8">
        <v>7.0000000000000007E-2</v>
      </c>
      <c r="G25" s="14">
        <f t="shared" si="0"/>
        <v>6.9999999999993179E-2</v>
      </c>
    </row>
    <row r="26" spans="1:7" ht="15.5" x14ac:dyDescent="0.35">
      <c r="A26" s="6" t="s">
        <v>20</v>
      </c>
      <c r="B26" s="9">
        <v>99.694999999999993</v>
      </c>
      <c r="C26" s="9">
        <v>99.688000000000002</v>
      </c>
      <c r="D26" s="3"/>
      <c r="E26" s="8">
        <v>0.01</v>
      </c>
      <c r="G26" s="14">
        <f t="shared" si="0"/>
        <v>6.9999999999907914E-3</v>
      </c>
    </row>
    <row r="27" spans="1:7" x14ac:dyDescent="0.35">
      <c r="A27" s="11" t="s">
        <v>21</v>
      </c>
      <c r="B27" s="9">
        <v>1.0249999999999999</v>
      </c>
      <c r="C27" s="9">
        <v>1.0149999999999999</v>
      </c>
      <c r="D27" s="3"/>
      <c r="E27" s="8">
        <v>0.99</v>
      </c>
      <c r="G27" s="14">
        <f t="shared" si="0"/>
        <v>1.0000000000000009E-2</v>
      </c>
    </row>
    <row r="28" spans="1:7" x14ac:dyDescent="0.35">
      <c r="A28" s="11" t="s">
        <v>22</v>
      </c>
      <c r="B28" s="9">
        <v>1.1200000000000001</v>
      </c>
      <c r="C28" s="9">
        <v>1.115</v>
      </c>
      <c r="D28" s="3"/>
      <c r="E28" s="8">
        <v>0.45</v>
      </c>
      <c r="G28" s="14">
        <f t="shared" si="0"/>
        <v>5.0000000000001155E-3</v>
      </c>
    </row>
    <row r="29" spans="1:7" ht="15.5" x14ac:dyDescent="0.35">
      <c r="A29" s="6" t="s">
        <v>23</v>
      </c>
      <c r="B29" s="9">
        <v>103</v>
      </c>
      <c r="C29" s="9">
        <v>102.64100000000001</v>
      </c>
      <c r="D29" s="3"/>
      <c r="E29" s="8">
        <v>0.35</v>
      </c>
      <c r="G29" s="14">
        <f t="shared" si="0"/>
        <v>0.35899999999999466</v>
      </c>
    </row>
    <row r="30" spans="1:7" ht="15.5" x14ac:dyDescent="0.35">
      <c r="A30" s="6" t="s">
        <v>24</v>
      </c>
      <c r="B30" s="7">
        <v>15153.12</v>
      </c>
      <c r="C30" s="2"/>
      <c r="D30" s="3"/>
      <c r="E30" s="8" t="e">
        <v>#DIV/0!</v>
      </c>
      <c r="G30" s="14">
        <f t="shared" si="0"/>
        <v>15153.12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1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0.81640625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42922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9329.7999999999993</v>
      </c>
      <c r="C3" s="24">
        <v>9517.6299999999992</v>
      </c>
      <c r="D3" s="25"/>
      <c r="E3" s="26">
        <f>G3/B3</f>
        <v>-2.0132264357220941E-2</v>
      </c>
      <c r="G3" s="14">
        <f>B3-C3</f>
        <v>-187.82999999999993</v>
      </c>
    </row>
    <row r="4" spans="1:7" ht="15.5" x14ac:dyDescent="0.35">
      <c r="A4" s="23" t="s">
        <v>26</v>
      </c>
      <c r="B4" s="24">
        <v>2549.29</v>
      </c>
      <c r="C4" s="24">
        <v>2552.0700000000002</v>
      </c>
      <c r="D4" s="25"/>
      <c r="E4" s="26">
        <f>G4/B4</f>
        <v>-1.0904997077618474E-3</v>
      </c>
      <c r="G4" s="14">
        <f>B4-C4</f>
        <v>-2.7800000000002001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21320.04</v>
      </c>
      <c r="C7" s="7">
        <v>21478.17</v>
      </c>
      <c r="D7" s="3"/>
      <c r="E7" s="10">
        <v>-0.74</v>
      </c>
      <c r="G7" s="14">
        <f>B7-C7</f>
        <v>-158.12999999999738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1730.76</v>
      </c>
      <c r="C9" s="7">
        <v>1751.94</v>
      </c>
      <c r="D9" s="3"/>
      <c r="E9" s="10">
        <v>-1.21</v>
      </c>
      <c r="G9" s="14">
        <f t="shared" ref="G9:G30" si="0">B9-C9</f>
        <v>-21.180000000000064</v>
      </c>
    </row>
    <row r="10" spans="1:7" ht="15.5" x14ac:dyDescent="0.35">
      <c r="A10" s="6" t="s">
        <v>7</v>
      </c>
      <c r="B10" s="7">
        <v>2410.0300000000002</v>
      </c>
      <c r="C10" s="7">
        <v>2432.58</v>
      </c>
      <c r="D10" s="3"/>
      <c r="E10" s="10">
        <v>-0.93</v>
      </c>
      <c r="G10" s="14">
        <f t="shared" si="0"/>
        <v>-22.549999999999727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1335.0239999999999</v>
      </c>
      <c r="C12" s="7">
        <v>1348.1869999999999</v>
      </c>
      <c r="D12" s="2"/>
      <c r="E12" s="10">
        <v>-0.98</v>
      </c>
      <c r="G12" s="14">
        <f t="shared" si="0"/>
        <v>-13.163000000000011</v>
      </c>
    </row>
    <row r="13" spans="1:7" ht="15.5" x14ac:dyDescent="0.35">
      <c r="A13" s="6" t="s">
        <v>9</v>
      </c>
      <c r="B13" s="7">
        <v>1400.934</v>
      </c>
      <c r="C13" s="7">
        <v>1420.1569999999999</v>
      </c>
      <c r="D13" s="2"/>
      <c r="E13" s="10">
        <v>-1.35</v>
      </c>
      <c r="G13" s="14">
        <f t="shared" si="0"/>
        <v>-19.222999999999956</v>
      </c>
    </row>
    <row r="14" spans="1:7" ht="15.5" x14ac:dyDescent="0.35">
      <c r="A14" s="6" t="s">
        <v>10</v>
      </c>
      <c r="B14" s="7">
        <v>1427.325</v>
      </c>
      <c r="C14" s="7">
        <v>1441.81</v>
      </c>
      <c r="D14" s="2"/>
      <c r="E14" s="10">
        <v>-1</v>
      </c>
      <c r="G14" s="14">
        <f t="shared" si="0"/>
        <v>-14.4849999999999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11703.04</v>
      </c>
      <c r="C16" s="7">
        <v>11809.42</v>
      </c>
      <c r="D16" s="3"/>
      <c r="E16" s="10">
        <v>-0.9</v>
      </c>
      <c r="G16" s="14">
        <f t="shared" si="0"/>
        <v>-106.3799999999992</v>
      </c>
    </row>
    <row r="17" spans="1:7" ht="15.5" x14ac:dyDescent="0.35">
      <c r="A17" s="6" t="s">
        <v>12</v>
      </c>
      <c r="B17" s="7">
        <v>6089.4639999999999</v>
      </c>
      <c r="C17" s="7">
        <v>6150.8549999999996</v>
      </c>
      <c r="D17" s="3"/>
      <c r="E17" s="10">
        <v>-1</v>
      </c>
      <c r="G17" s="14">
        <f t="shared" si="0"/>
        <v>-61.390999999999622</v>
      </c>
    </row>
    <row r="18" spans="1:7" ht="15.5" x14ac:dyDescent="0.35">
      <c r="A18" s="6" t="s">
        <v>13</v>
      </c>
      <c r="B18" s="7">
        <v>2504.614</v>
      </c>
      <c r="C18" s="7">
        <v>2535.1819999999998</v>
      </c>
      <c r="D18" s="3"/>
      <c r="E18" s="10">
        <v>-1.21</v>
      </c>
      <c r="G18" s="14">
        <f t="shared" si="0"/>
        <v>-30.567999999999756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1909.59</v>
      </c>
      <c r="C20" s="7">
        <v>1920.33</v>
      </c>
      <c r="D20" s="2"/>
      <c r="E20" s="10">
        <v>-0.56000000000000005</v>
      </c>
      <c r="G20" s="14">
        <f t="shared" si="0"/>
        <v>-10.740000000000009</v>
      </c>
    </row>
    <row r="21" spans="1:7" ht="15.5" x14ac:dyDescent="0.35">
      <c r="A21" s="6" t="s">
        <v>15</v>
      </c>
      <c r="B21" s="7">
        <v>1884.65</v>
      </c>
      <c r="C21" s="7">
        <v>1885.22</v>
      </c>
      <c r="D21" s="2"/>
      <c r="E21" s="10">
        <v>-0.03</v>
      </c>
      <c r="G21" s="14">
        <f t="shared" si="0"/>
        <v>-0.56999999999993634</v>
      </c>
    </row>
    <row r="22" spans="1:7" ht="31" x14ac:dyDescent="0.35">
      <c r="A22" s="6" t="s">
        <v>16</v>
      </c>
      <c r="B22" s="7">
        <v>1006.54</v>
      </c>
      <c r="C22" s="7">
        <v>1009.85</v>
      </c>
      <c r="D22" s="2"/>
      <c r="E22" s="10">
        <v>-0.33</v>
      </c>
      <c r="G22" s="14">
        <f t="shared" si="0"/>
        <v>-3.3100000000000591</v>
      </c>
    </row>
    <row r="23" spans="1:7" ht="15.5" x14ac:dyDescent="0.35">
      <c r="A23" s="6" t="s">
        <v>17</v>
      </c>
      <c r="B23" s="7">
        <v>1891.16</v>
      </c>
      <c r="C23" s="7">
        <v>1913.98</v>
      </c>
      <c r="D23" s="3"/>
      <c r="E23" s="10">
        <v>-1.19</v>
      </c>
      <c r="G23" s="14">
        <f t="shared" si="0"/>
        <v>-22.819999999999936</v>
      </c>
    </row>
    <row r="24" spans="1:7" ht="15.5" x14ac:dyDescent="0.35">
      <c r="A24" s="6" t="s">
        <v>18</v>
      </c>
      <c r="B24" s="9">
        <v>100.078</v>
      </c>
      <c r="C24" s="9">
        <v>100.422</v>
      </c>
      <c r="D24" s="3"/>
      <c r="E24" s="10">
        <v>-0.34</v>
      </c>
      <c r="G24" s="14">
        <f t="shared" si="0"/>
        <v>-0.34399999999999409</v>
      </c>
    </row>
    <row r="25" spans="1:7" ht="15.5" x14ac:dyDescent="0.35">
      <c r="A25" s="6" t="s">
        <v>19</v>
      </c>
      <c r="B25" s="9">
        <v>99.125</v>
      </c>
      <c r="C25" s="9">
        <v>99.210999999999999</v>
      </c>
      <c r="D25" s="3"/>
      <c r="E25" s="10">
        <v>-0.09</v>
      </c>
      <c r="G25" s="14">
        <f t="shared" si="0"/>
        <v>-8.5999999999998522E-2</v>
      </c>
    </row>
    <row r="26" spans="1:7" ht="15.5" x14ac:dyDescent="0.35">
      <c r="A26" s="6" t="s">
        <v>20</v>
      </c>
      <c r="B26" s="9">
        <v>99.710999999999999</v>
      </c>
      <c r="C26" s="9">
        <v>99.694999999999993</v>
      </c>
      <c r="D26" s="3"/>
      <c r="E26" s="8">
        <v>0.02</v>
      </c>
      <c r="G26" s="14">
        <f t="shared" si="0"/>
        <v>1.6000000000005343E-2</v>
      </c>
    </row>
    <row r="27" spans="1:7" x14ac:dyDescent="0.35">
      <c r="A27" s="11" t="s">
        <v>21</v>
      </c>
      <c r="B27" s="9">
        <v>1.0149999999999999</v>
      </c>
      <c r="C27" s="9">
        <v>1.0249999999999999</v>
      </c>
      <c r="D27" s="3"/>
      <c r="E27" s="10">
        <v>-0.98</v>
      </c>
      <c r="G27" s="14">
        <f t="shared" si="0"/>
        <v>-1.0000000000000009E-2</v>
      </c>
    </row>
    <row r="28" spans="1:7" x14ac:dyDescent="0.35">
      <c r="A28" s="11" t="s">
        <v>22</v>
      </c>
      <c r="B28" s="9">
        <v>1.1100000000000001</v>
      </c>
      <c r="C28" s="9">
        <v>1.1200000000000001</v>
      </c>
      <c r="D28" s="3"/>
      <c r="E28" s="10">
        <v>-0.89</v>
      </c>
      <c r="G28" s="14">
        <f t="shared" si="0"/>
        <v>-1.0000000000000009E-2</v>
      </c>
    </row>
    <row r="29" spans="1:7" ht="15.5" x14ac:dyDescent="0.35">
      <c r="A29" s="6" t="s">
        <v>23</v>
      </c>
      <c r="B29" s="9">
        <v>101.96899999999999</v>
      </c>
      <c r="C29" s="9">
        <v>103</v>
      </c>
      <c r="D29" s="3"/>
      <c r="E29" s="10">
        <v>-1</v>
      </c>
      <c r="G29" s="14">
        <f t="shared" si="0"/>
        <v>-1.0310000000000059</v>
      </c>
    </row>
    <row r="30" spans="1:7" ht="15.5" x14ac:dyDescent="0.35">
      <c r="A30" s="6" t="s">
        <v>24</v>
      </c>
      <c r="B30" s="7">
        <v>15078</v>
      </c>
      <c r="C30" s="7">
        <v>15153.12</v>
      </c>
      <c r="D30" s="3"/>
      <c r="E30" s="10">
        <v>-0.5</v>
      </c>
      <c r="G30" s="14">
        <f t="shared" si="0"/>
        <v>-75.1200000000008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2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7" max="7" width="10.81640625" bestFit="1" customWidth="1"/>
  </cols>
  <sheetData>
    <row r="1" spans="1:7" ht="18" x14ac:dyDescent="0.35">
      <c r="A1" s="1" t="s">
        <v>0</v>
      </c>
      <c r="B1" s="28">
        <v>0.69930555555555562</v>
      </c>
      <c r="C1" s="2"/>
      <c r="D1" s="3"/>
      <c r="E1" s="2"/>
      <c r="G1" s="14"/>
    </row>
    <row r="2" spans="1:7" ht="15.5" x14ac:dyDescent="0.35">
      <c r="A2" s="4">
        <v>42923</v>
      </c>
      <c r="B2" s="28"/>
      <c r="C2" s="2"/>
      <c r="D2" s="3"/>
      <c r="E2" s="2"/>
      <c r="G2" s="14"/>
    </row>
    <row r="3" spans="1:7" ht="15.5" x14ac:dyDescent="0.35">
      <c r="A3" s="23" t="s">
        <v>25</v>
      </c>
      <c r="B3" s="24">
        <v>9379.56</v>
      </c>
      <c r="C3" s="24">
        <v>9329.7999999999993</v>
      </c>
      <c r="D3" s="25"/>
      <c r="E3" s="26">
        <f>G3/B3</f>
        <v>5.3051529069594117E-3</v>
      </c>
      <c r="G3" s="14">
        <f>B3-C3</f>
        <v>49.760000000000218</v>
      </c>
    </row>
    <row r="4" spans="1:7" ht="15.5" x14ac:dyDescent="0.35">
      <c r="A4" s="23" t="s">
        <v>26</v>
      </c>
      <c r="B4" s="24">
        <v>2536.96</v>
      </c>
      <c r="C4" s="24">
        <v>2549.29</v>
      </c>
      <c r="D4" s="25"/>
      <c r="E4" s="26">
        <f>G4/B4</f>
        <v>-4.8601475782038056E-3</v>
      </c>
      <c r="G4" s="14">
        <f>B4-C4</f>
        <v>-12.329999999999927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21414.34</v>
      </c>
      <c r="C7" s="7">
        <v>21320.04</v>
      </c>
      <c r="D7" s="3"/>
      <c r="E7" s="8">
        <v>0.44</v>
      </c>
      <c r="G7" s="14">
        <f>B7-C7</f>
        <v>94.299999999999272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1747.37</v>
      </c>
      <c r="C9" s="7">
        <v>1730.76</v>
      </c>
      <c r="D9" s="3"/>
      <c r="E9" s="8">
        <v>0.96</v>
      </c>
      <c r="G9" s="14">
        <f t="shared" ref="G9:G30" si="0">B9-C9</f>
        <v>16.6099999999999</v>
      </c>
    </row>
    <row r="10" spans="1:7" ht="15.5" x14ac:dyDescent="0.35">
      <c r="A10" s="6" t="s">
        <v>7</v>
      </c>
      <c r="B10" s="7">
        <v>2425.06</v>
      </c>
      <c r="C10" s="7">
        <v>2410.0300000000002</v>
      </c>
      <c r="D10" s="3"/>
      <c r="E10" s="8">
        <v>0.62</v>
      </c>
      <c r="G10" s="14">
        <f t="shared" si="0"/>
        <v>15.029999999999745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1343.7139999999999</v>
      </c>
      <c r="C12" s="7">
        <v>1335.0239999999999</v>
      </c>
      <c r="D12" s="2"/>
      <c r="E12" s="8">
        <v>0.65</v>
      </c>
      <c r="G12" s="14">
        <f t="shared" si="0"/>
        <v>8.6900000000000546</v>
      </c>
    </row>
    <row r="13" spans="1:7" ht="15.5" x14ac:dyDescent="0.35">
      <c r="A13" s="6" t="s">
        <v>9</v>
      </c>
      <c r="B13" s="7">
        <v>1415.7929999999999</v>
      </c>
      <c r="C13" s="7">
        <v>1400.934</v>
      </c>
      <c r="D13" s="2"/>
      <c r="E13" s="8">
        <v>1.06</v>
      </c>
      <c r="G13" s="14">
        <f t="shared" si="0"/>
        <v>14.858999999999924</v>
      </c>
    </row>
    <row r="14" spans="1:7" ht="15.5" x14ac:dyDescent="0.35">
      <c r="A14" s="6" t="s">
        <v>10</v>
      </c>
      <c r="B14" s="7">
        <v>1437.046</v>
      </c>
      <c r="C14" s="7">
        <v>1427.325</v>
      </c>
      <c r="D14" s="2"/>
      <c r="E14" s="8">
        <v>0.68</v>
      </c>
      <c r="G14" s="14">
        <f t="shared" si="0"/>
        <v>9.7210000000000036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11752.92</v>
      </c>
      <c r="C16" s="7">
        <v>11703.04</v>
      </c>
      <c r="D16" s="3"/>
      <c r="E16" s="8">
        <v>0.43</v>
      </c>
      <c r="G16" s="14">
        <f t="shared" si="0"/>
        <v>49.8799999999992</v>
      </c>
    </row>
    <row r="17" spans="1:7" ht="15.5" x14ac:dyDescent="0.35">
      <c r="A17" s="6" t="s">
        <v>12</v>
      </c>
      <c r="B17" s="7">
        <v>6153.0789999999997</v>
      </c>
      <c r="C17" s="7">
        <v>6089.4639999999999</v>
      </c>
      <c r="D17" s="3"/>
      <c r="E17" s="8">
        <v>1.04</v>
      </c>
      <c r="G17" s="14">
        <f t="shared" si="0"/>
        <v>63.614999999999782</v>
      </c>
    </row>
    <row r="18" spans="1:7" ht="15.5" x14ac:dyDescent="0.35">
      <c r="A18" s="6" t="s">
        <v>13</v>
      </c>
      <c r="B18" s="7">
        <v>2505.5010000000002</v>
      </c>
      <c r="C18" s="7">
        <v>2504.614</v>
      </c>
      <c r="D18" s="3"/>
      <c r="E18" s="8">
        <v>0.04</v>
      </c>
      <c r="G18" s="14">
        <f t="shared" si="0"/>
        <v>0.88700000000017099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1913.18</v>
      </c>
      <c r="C20" s="7">
        <v>1909.59</v>
      </c>
      <c r="D20" s="2"/>
      <c r="E20" s="8">
        <v>0.19</v>
      </c>
      <c r="G20" s="14">
        <f t="shared" si="0"/>
        <v>3.5900000000001455</v>
      </c>
    </row>
    <row r="21" spans="1:7" ht="15.5" x14ac:dyDescent="0.35">
      <c r="A21" s="6" t="s">
        <v>15</v>
      </c>
      <c r="B21" s="7">
        <v>1874.1</v>
      </c>
      <c r="C21" s="7">
        <v>1884.65</v>
      </c>
      <c r="D21" s="2"/>
      <c r="E21" s="10">
        <v>-0.56000000000000005</v>
      </c>
      <c r="G21" s="14">
        <f t="shared" si="0"/>
        <v>-10.550000000000182</v>
      </c>
    </row>
    <row r="22" spans="1:7" ht="31" x14ac:dyDescent="0.35">
      <c r="A22" s="6" t="s">
        <v>16</v>
      </c>
      <c r="B22" s="7">
        <v>1002.48</v>
      </c>
      <c r="C22" s="7">
        <v>1006.54</v>
      </c>
      <c r="D22" s="2"/>
      <c r="E22" s="10">
        <v>-0.4</v>
      </c>
      <c r="G22" s="14">
        <f t="shared" si="0"/>
        <v>-4.0599999999999454</v>
      </c>
    </row>
    <row r="23" spans="1:7" ht="15.5" x14ac:dyDescent="0.35">
      <c r="A23" s="6" t="s">
        <v>17</v>
      </c>
      <c r="B23" s="7">
        <v>1905.43</v>
      </c>
      <c r="C23" s="7">
        <v>1891.1569999999999</v>
      </c>
      <c r="D23" s="3"/>
      <c r="E23" s="8">
        <v>0.75</v>
      </c>
      <c r="G23" s="14">
        <f t="shared" si="0"/>
        <v>14.273000000000138</v>
      </c>
    </row>
    <row r="24" spans="1:7" ht="15.5" x14ac:dyDescent="0.35">
      <c r="A24" s="6" t="s">
        <v>18</v>
      </c>
      <c r="B24" s="9">
        <v>99.921999999999997</v>
      </c>
      <c r="C24" s="9">
        <v>100.078</v>
      </c>
      <c r="D24" s="3"/>
      <c r="E24" s="10">
        <v>-0.16</v>
      </c>
      <c r="G24" s="14">
        <f t="shared" si="0"/>
        <v>-0.15600000000000591</v>
      </c>
    </row>
    <row r="25" spans="1:7" ht="15.5" x14ac:dyDescent="0.35">
      <c r="A25" s="6" t="s">
        <v>19</v>
      </c>
      <c r="B25" s="9">
        <v>99.07</v>
      </c>
      <c r="C25" s="9">
        <v>99.125</v>
      </c>
      <c r="D25" s="3"/>
      <c r="E25" s="10">
        <v>-0.06</v>
      </c>
      <c r="G25" s="14">
        <f t="shared" si="0"/>
        <v>-5.5000000000006821E-2</v>
      </c>
    </row>
    <row r="26" spans="1:7" ht="15.5" x14ac:dyDescent="0.35">
      <c r="A26" s="6" t="s">
        <v>20</v>
      </c>
      <c r="B26" s="9">
        <v>99.710999999999999</v>
      </c>
      <c r="C26" s="9">
        <v>99.710999999999999</v>
      </c>
      <c r="D26" s="3"/>
      <c r="E26" s="8">
        <v>0</v>
      </c>
      <c r="G26" s="14">
        <f t="shared" si="0"/>
        <v>0</v>
      </c>
    </row>
    <row r="27" spans="1:7" x14ac:dyDescent="0.35">
      <c r="A27" s="11" t="s">
        <v>21</v>
      </c>
      <c r="B27" s="9">
        <v>1.0149999999999999</v>
      </c>
      <c r="C27" s="9">
        <v>1.0149999999999999</v>
      </c>
      <c r="D27" s="3"/>
      <c r="E27" s="8">
        <v>0</v>
      </c>
      <c r="G27" s="14">
        <f t="shared" si="0"/>
        <v>0</v>
      </c>
    </row>
    <row r="28" spans="1:7" x14ac:dyDescent="0.35">
      <c r="A28" s="11" t="s">
        <v>22</v>
      </c>
      <c r="B28" s="9">
        <v>1.115</v>
      </c>
      <c r="C28" s="9">
        <v>1.1100000000000001</v>
      </c>
      <c r="D28" s="3"/>
      <c r="E28" s="8">
        <v>0.45</v>
      </c>
      <c r="G28" s="14">
        <f t="shared" si="0"/>
        <v>4.9999999999998934E-3</v>
      </c>
    </row>
    <row r="29" spans="1:7" ht="15.5" x14ac:dyDescent="0.35">
      <c r="A29" s="6" t="s">
        <v>23</v>
      </c>
      <c r="B29" s="9">
        <v>101.438</v>
      </c>
      <c r="C29" s="9">
        <v>101.96899999999999</v>
      </c>
      <c r="D29" s="3"/>
      <c r="E29" s="10">
        <v>-0.52</v>
      </c>
      <c r="G29" s="14">
        <f t="shared" si="0"/>
        <v>-0.5309999999999917</v>
      </c>
    </row>
    <row r="30" spans="1:7" ht="15.5" x14ac:dyDescent="0.35">
      <c r="A30" s="6" t="s">
        <v>24</v>
      </c>
      <c r="B30" s="7">
        <v>15027.16</v>
      </c>
      <c r="C30" s="7">
        <v>15078</v>
      </c>
      <c r="D30" s="3"/>
      <c r="E30" s="10">
        <v>-0.34</v>
      </c>
      <c r="G30" s="14">
        <f t="shared" si="0"/>
        <v>-50.840000000000146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3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42926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9278.68</v>
      </c>
      <c r="C3" s="24">
        <v>9379.56</v>
      </c>
      <c r="D3" s="25"/>
      <c r="E3" s="26">
        <f>G3/B3</f>
        <v>-1.0872236137036646E-2</v>
      </c>
      <c r="G3" s="14">
        <f>B3-C3</f>
        <v>-100.8799999999992</v>
      </c>
    </row>
    <row r="4" spans="1:7" ht="15.5" x14ac:dyDescent="0.35">
      <c r="A4" s="23" t="s">
        <v>26</v>
      </c>
      <c r="B4" s="24">
        <v>2562.15</v>
      </c>
      <c r="C4" s="24">
        <v>2536.96</v>
      </c>
      <c r="D4" s="25"/>
      <c r="E4" s="26">
        <f>G4/B4</f>
        <v>9.831586753312669E-3</v>
      </c>
      <c r="G4" s="14">
        <f>B4-C4</f>
        <v>25.190000000000055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21408.52</v>
      </c>
      <c r="C7" s="7">
        <v>21414.34</v>
      </c>
      <c r="D7" s="3"/>
      <c r="E7" s="10">
        <v>-0.03</v>
      </c>
      <c r="G7" s="14">
        <f>B7-C7</f>
        <v>-5.819999999999709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1743.1</v>
      </c>
      <c r="C9" s="7">
        <v>1747.37</v>
      </c>
      <c r="D9" s="3"/>
      <c r="E9" s="10">
        <v>-0.24</v>
      </c>
      <c r="G9" s="14">
        <f t="shared" ref="G9:G30" si="0">B9-C9</f>
        <v>-4.2699999999999818</v>
      </c>
    </row>
    <row r="10" spans="1:7" ht="15.5" x14ac:dyDescent="0.35">
      <c r="A10" s="6" t="s">
        <v>7</v>
      </c>
      <c r="B10" s="7">
        <v>2427.54</v>
      </c>
      <c r="C10" s="7">
        <v>2425.06</v>
      </c>
      <c r="D10" s="3"/>
      <c r="E10" s="10">
        <v>0.1</v>
      </c>
      <c r="G10" s="14">
        <f t="shared" si="0"/>
        <v>2.4800000000000182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1344.7439999999999</v>
      </c>
      <c r="C12" s="7">
        <v>1343.7139999999999</v>
      </c>
      <c r="D12" s="2"/>
      <c r="E12" s="10">
        <v>0.08</v>
      </c>
      <c r="G12" s="14">
        <f t="shared" si="0"/>
        <v>1.0299999999999727</v>
      </c>
    </row>
    <row r="13" spans="1:7" ht="15.5" x14ac:dyDescent="0.35">
      <c r="A13" s="6" t="s">
        <v>9</v>
      </c>
      <c r="B13" s="7">
        <v>1408.7049999999999</v>
      </c>
      <c r="C13" s="7">
        <v>1415.7929999999999</v>
      </c>
      <c r="D13" s="2"/>
      <c r="E13" s="10">
        <v>-0.5</v>
      </c>
      <c r="G13" s="14">
        <f t="shared" si="0"/>
        <v>-7.0879999999999654</v>
      </c>
    </row>
    <row r="14" spans="1:7" ht="15.5" x14ac:dyDescent="0.35">
      <c r="A14" s="6" t="s">
        <v>10</v>
      </c>
      <c r="B14" s="7">
        <v>1437.5260000000001</v>
      </c>
      <c r="C14" s="7">
        <v>1437.046</v>
      </c>
      <c r="D14" s="2"/>
      <c r="E14" s="10">
        <v>0.03</v>
      </c>
      <c r="G14" s="14">
        <f t="shared" si="0"/>
        <v>0.48000000000001819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11751.94</v>
      </c>
      <c r="C16" s="7">
        <v>11752.92</v>
      </c>
      <c r="D16" s="3"/>
      <c r="E16" s="10">
        <v>-0.01</v>
      </c>
      <c r="G16" s="14">
        <f t="shared" si="0"/>
        <v>-0.97999999999956344</v>
      </c>
    </row>
    <row r="17" spans="1:7" ht="15.5" x14ac:dyDescent="0.35">
      <c r="A17" s="6" t="s">
        <v>12</v>
      </c>
      <c r="B17" s="7">
        <v>6176.393</v>
      </c>
      <c r="C17" s="7">
        <v>6153.0789999999997</v>
      </c>
      <c r="D17" s="3"/>
      <c r="E17" s="10">
        <v>0.38</v>
      </c>
      <c r="G17" s="14">
        <f t="shared" si="0"/>
        <v>23.314000000000306</v>
      </c>
    </row>
    <row r="18" spans="1:7" ht="15.5" x14ac:dyDescent="0.35">
      <c r="A18" s="6" t="s">
        <v>13</v>
      </c>
      <c r="B18" s="7">
        <v>2489.7049999999999</v>
      </c>
      <c r="C18" s="7">
        <v>2505.5010000000002</v>
      </c>
      <c r="D18" s="3"/>
      <c r="E18" s="10">
        <v>-0.63</v>
      </c>
      <c r="G18" s="14">
        <f t="shared" si="0"/>
        <v>-15.796000000000276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1917.11</v>
      </c>
      <c r="C20" s="7">
        <v>1913.18</v>
      </c>
      <c r="D20" s="2"/>
      <c r="E20" s="10">
        <v>0.21</v>
      </c>
      <c r="G20" s="14">
        <f t="shared" si="0"/>
        <v>3.9299999999998363</v>
      </c>
    </row>
    <row r="21" spans="1:7" ht="15.5" x14ac:dyDescent="0.35">
      <c r="A21" s="6" t="s">
        <v>15</v>
      </c>
      <c r="B21" s="7">
        <v>1882.56</v>
      </c>
      <c r="C21" s="7">
        <v>1874.1</v>
      </c>
      <c r="D21" s="2"/>
      <c r="E21" s="10">
        <v>0.45</v>
      </c>
      <c r="G21" s="14">
        <f t="shared" si="0"/>
        <v>8.4600000000000364</v>
      </c>
    </row>
    <row r="22" spans="1:7" ht="31" x14ac:dyDescent="0.35">
      <c r="A22" s="6" t="s">
        <v>16</v>
      </c>
      <c r="B22" s="7">
        <v>1009.29</v>
      </c>
      <c r="C22" s="7">
        <v>1002.48</v>
      </c>
      <c r="D22" s="2"/>
      <c r="E22" s="10">
        <v>0.68</v>
      </c>
      <c r="G22" s="14">
        <f t="shared" si="0"/>
        <v>6.8099999999999454</v>
      </c>
    </row>
    <row r="23" spans="1:7" ht="15.5" x14ac:dyDescent="0.35">
      <c r="A23" s="6" t="s">
        <v>17</v>
      </c>
      <c r="B23" s="7">
        <v>1904.29</v>
      </c>
      <c r="C23" s="7">
        <v>1905.431</v>
      </c>
      <c r="D23" s="3"/>
      <c r="E23" s="10">
        <v>-0.06</v>
      </c>
      <c r="G23" s="14">
        <f t="shared" si="0"/>
        <v>-1.1410000000000764</v>
      </c>
    </row>
    <row r="24" spans="1:7" ht="15.5" x14ac:dyDescent="0.35">
      <c r="A24" s="6" t="s">
        <v>18</v>
      </c>
      <c r="B24" s="9">
        <v>100.01600000000001</v>
      </c>
      <c r="C24" s="9">
        <v>99.921999999999997</v>
      </c>
      <c r="D24" s="3"/>
      <c r="E24" s="10">
        <v>0.09</v>
      </c>
      <c r="G24" s="14">
        <f t="shared" si="0"/>
        <v>9.4000000000008299E-2</v>
      </c>
    </row>
    <row r="25" spans="1:7" ht="15.5" x14ac:dyDescent="0.35">
      <c r="A25" s="6" t="s">
        <v>19</v>
      </c>
      <c r="B25" s="9">
        <v>99.147999999999996</v>
      </c>
      <c r="C25" s="9">
        <v>99.07</v>
      </c>
      <c r="D25" s="3"/>
      <c r="E25" s="10">
        <v>0.08</v>
      </c>
      <c r="G25" s="14">
        <f t="shared" si="0"/>
        <v>7.8000000000002956E-2</v>
      </c>
    </row>
    <row r="26" spans="1:7" ht="15.5" x14ac:dyDescent="0.35">
      <c r="A26" s="6" t="s">
        <v>20</v>
      </c>
      <c r="B26" s="9">
        <v>99.742000000000004</v>
      </c>
      <c r="C26" s="9">
        <v>99.710999999999999</v>
      </c>
      <c r="D26" s="3"/>
      <c r="E26" s="10">
        <v>0.03</v>
      </c>
      <c r="G26" s="14">
        <f t="shared" si="0"/>
        <v>3.1000000000005912E-2</v>
      </c>
    </row>
    <row r="27" spans="1:7" x14ac:dyDescent="0.35">
      <c r="A27" s="11" t="s">
        <v>21</v>
      </c>
      <c r="B27" s="9">
        <v>1.0149999999999999</v>
      </c>
      <c r="C27" s="9">
        <v>1.0149999999999999</v>
      </c>
      <c r="D27" s="3"/>
      <c r="E27" s="8">
        <v>0</v>
      </c>
      <c r="G27" s="14">
        <f t="shared" si="0"/>
        <v>0</v>
      </c>
    </row>
    <row r="28" spans="1:7" x14ac:dyDescent="0.35">
      <c r="A28" s="11" t="s">
        <v>22</v>
      </c>
      <c r="B28" s="9">
        <v>1.105</v>
      </c>
      <c r="C28" s="9">
        <v>1.115</v>
      </c>
      <c r="D28" s="3"/>
      <c r="E28" s="8">
        <v>-0.9</v>
      </c>
      <c r="G28" s="14">
        <f t="shared" si="0"/>
        <v>-1.0000000000000009E-2</v>
      </c>
    </row>
    <row r="29" spans="1:7" ht="15.5" x14ac:dyDescent="0.35">
      <c r="A29" s="6" t="s">
        <v>23</v>
      </c>
      <c r="B29" s="9">
        <v>101.40600000000001</v>
      </c>
      <c r="C29" s="9">
        <v>101.438</v>
      </c>
      <c r="D29" s="3"/>
      <c r="E29" s="10">
        <v>-0.03</v>
      </c>
      <c r="G29" s="14">
        <f t="shared" si="0"/>
        <v>-3.1999999999996476E-2</v>
      </c>
    </row>
    <row r="30" spans="1:7" ht="15.5" x14ac:dyDescent="0.35">
      <c r="A30" s="6" t="s">
        <v>24</v>
      </c>
      <c r="B30" s="7">
        <v>15105.28</v>
      </c>
      <c r="C30" s="7">
        <v>15027.16</v>
      </c>
      <c r="D30" s="3"/>
      <c r="E30" s="10">
        <v>0.52</v>
      </c>
      <c r="G30" s="14">
        <f t="shared" si="0"/>
        <v>78.1200000000008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4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42927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9267.9</v>
      </c>
      <c r="C3" s="24">
        <v>9278.68</v>
      </c>
      <c r="D3" s="25"/>
      <c r="E3" s="26">
        <f>G3/B3</f>
        <v>-1.1631545441794424E-3</v>
      </c>
      <c r="G3" s="14">
        <f>B3-C3</f>
        <v>-10.780000000000655</v>
      </c>
    </row>
    <row r="4" spans="1:7" ht="15.5" x14ac:dyDescent="0.35">
      <c r="A4" s="23" t="s">
        <v>26</v>
      </c>
      <c r="B4" s="24">
        <v>2583.42</v>
      </c>
      <c r="C4" s="24">
        <v>2562.15</v>
      </c>
      <c r="D4" s="25"/>
      <c r="E4" s="26">
        <f>G4/B4</f>
        <v>8.2332721740947974E-3</v>
      </c>
      <c r="G4" s="14">
        <f>B4-C4</f>
        <v>21.269999999999982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21409.07</v>
      </c>
      <c r="C7" s="7">
        <v>21408.52</v>
      </c>
      <c r="D7" s="3"/>
      <c r="E7" s="8">
        <v>0</v>
      </c>
      <c r="G7" s="14">
        <f>B7-C7</f>
        <v>0.5499999999992724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1745.39</v>
      </c>
      <c r="C9" s="7">
        <v>1743.1</v>
      </c>
      <c r="D9" s="3"/>
      <c r="E9" s="8">
        <v>0.13</v>
      </c>
      <c r="G9" s="14">
        <f t="shared" ref="G9:G30" si="0">B9-C9</f>
        <v>2.290000000000191</v>
      </c>
    </row>
    <row r="10" spans="1:7" ht="15.5" x14ac:dyDescent="0.35">
      <c r="A10" s="6" t="s">
        <v>7</v>
      </c>
      <c r="B10" s="7">
        <v>2425.6999999999998</v>
      </c>
      <c r="C10" s="7">
        <v>2427.54</v>
      </c>
      <c r="D10" s="3"/>
      <c r="E10" s="10">
        <v>-0.08</v>
      </c>
      <c r="G10" s="14">
        <f t="shared" si="0"/>
        <v>-1.8400000000001455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1344.221</v>
      </c>
      <c r="C12" s="7">
        <v>1344.7439999999999</v>
      </c>
      <c r="D12" s="2"/>
      <c r="E12" s="10">
        <v>-0.04</v>
      </c>
      <c r="G12" s="14">
        <f t="shared" si="0"/>
        <v>-0.52299999999991087</v>
      </c>
    </row>
    <row r="13" spans="1:7" ht="15.5" x14ac:dyDescent="0.35">
      <c r="A13" s="6" t="s">
        <v>9</v>
      </c>
      <c r="B13" s="7">
        <v>1413.05</v>
      </c>
      <c r="C13" s="7">
        <v>1408.7049999999999</v>
      </c>
      <c r="D13" s="2"/>
      <c r="E13" s="8">
        <v>0.31</v>
      </c>
      <c r="G13" s="14">
        <f t="shared" si="0"/>
        <v>4.3450000000000273</v>
      </c>
    </row>
    <row r="14" spans="1:7" ht="15.5" x14ac:dyDescent="0.35">
      <c r="A14" s="6" t="s">
        <v>10</v>
      </c>
      <c r="B14" s="7">
        <v>1437.3530000000001</v>
      </c>
      <c r="C14" s="7">
        <v>1437.5260000000001</v>
      </c>
      <c r="D14" s="2"/>
      <c r="E14" s="10">
        <v>-0.01</v>
      </c>
      <c r="G14" s="14">
        <f t="shared" si="0"/>
        <v>-0.17300000000000182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11745.2</v>
      </c>
      <c r="C16" s="7">
        <v>11751.94</v>
      </c>
      <c r="D16" s="3"/>
      <c r="E16" s="10">
        <v>-0.06</v>
      </c>
      <c r="G16" s="14">
        <f t="shared" si="0"/>
        <v>-6.7399999999997817</v>
      </c>
    </row>
    <row r="17" spans="1:7" ht="15.5" x14ac:dyDescent="0.35">
      <c r="A17" s="6" t="s">
        <v>12</v>
      </c>
      <c r="B17" s="7">
        <v>6193.3050000000003</v>
      </c>
      <c r="C17" s="7">
        <v>6176.393</v>
      </c>
      <c r="D17" s="3"/>
      <c r="E17" s="8">
        <v>0.27</v>
      </c>
      <c r="G17" s="14">
        <f t="shared" si="0"/>
        <v>16.912000000000262</v>
      </c>
    </row>
    <row r="18" spans="1:7" ht="15.5" x14ac:dyDescent="0.35">
      <c r="A18" s="6" t="s">
        <v>13</v>
      </c>
      <c r="B18" s="7">
        <v>2496.991</v>
      </c>
      <c r="C18" s="7">
        <v>2489.7049999999999</v>
      </c>
      <c r="D18" s="3"/>
      <c r="E18" s="8">
        <v>0.28999999999999998</v>
      </c>
      <c r="G18" s="14">
        <f t="shared" si="0"/>
        <v>7.2860000000000582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1915.67</v>
      </c>
      <c r="C20" s="7">
        <v>1917.11</v>
      </c>
      <c r="D20" s="2"/>
      <c r="E20" s="10">
        <v>-0.08</v>
      </c>
      <c r="G20" s="14">
        <f t="shared" si="0"/>
        <v>-1.4399999999998272</v>
      </c>
    </row>
    <row r="21" spans="1:7" ht="15.5" x14ac:dyDescent="0.35">
      <c r="A21" s="6" t="s">
        <v>15</v>
      </c>
      <c r="B21" s="7">
        <v>1878.38</v>
      </c>
      <c r="C21" s="7">
        <v>1882.56</v>
      </c>
      <c r="D21" s="2"/>
      <c r="E21" s="10">
        <v>-0.22</v>
      </c>
      <c r="G21" s="14">
        <f t="shared" si="0"/>
        <v>-4.1799999999998363</v>
      </c>
    </row>
    <row r="22" spans="1:7" ht="31" x14ac:dyDescent="0.35">
      <c r="A22" s="6" t="s">
        <v>16</v>
      </c>
      <c r="B22" s="7">
        <v>1018.45</v>
      </c>
      <c r="C22" s="7">
        <v>1009.29</v>
      </c>
      <c r="D22" s="2"/>
      <c r="E22" s="8">
        <v>0.91</v>
      </c>
      <c r="G22" s="14">
        <f t="shared" si="0"/>
        <v>9.1600000000000819</v>
      </c>
    </row>
    <row r="23" spans="1:7" ht="15.5" x14ac:dyDescent="0.35">
      <c r="A23" s="6" t="s">
        <v>17</v>
      </c>
      <c r="B23" s="7">
        <v>1904.41</v>
      </c>
      <c r="C23" s="7">
        <v>1904.2909999999999</v>
      </c>
      <c r="D23" s="3"/>
      <c r="E23" s="8">
        <v>0.01</v>
      </c>
      <c r="G23" s="14">
        <f t="shared" si="0"/>
        <v>0.11900000000014188</v>
      </c>
    </row>
    <row r="24" spans="1:7" ht="15.5" x14ac:dyDescent="0.35">
      <c r="A24" s="6" t="s">
        <v>18</v>
      </c>
      <c r="B24" s="9">
        <v>100.15600000000001</v>
      </c>
      <c r="C24" s="9">
        <v>100.01600000000001</v>
      </c>
      <c r="D24" s="3"/>
      <c r="E24" s="8">
        <v>0.14000000000000001</v>
      </c>
      <c r="G24" s="14">
        <f t="shared" si="0"/>
        <v>0.14000000000000057</v>
      </c>
    </row>
    <row r="25" spans="1:7" ht="15.5" x14ac:dyDescent="0.35">
      <c r="A25" s="6" t="s">
        <v>19</v>
      </c>
      <c r="B25" s="9">
        <v>99.233999999999995</v>
      </c>
      <c r="C25" s="9">
        <v>99.147999999999996</v>
      </c>
      <c r="D25" s="3"/>
      <c r="E25" s="8">
        <v>0.09</v>
      </c>
      <c r="G25" s="14">
        <f t="shared" si="0"/>
        <v>8.5999999999998522E-2</v>
      </c>
    </row>
    <row r="26" spans="1:7" ht="15.5" x14ac:dyDescent="0.35">
      <c r="A26" s="6" t="s">
        <v>20</v>
      </c>
      <c r="B26" s="9">
        <v>99.766000000000005</v>
      </c>
      <c r="C26" s="9">
        <v>99.742000000000004</v>
      </c>
      <c r="D26" s="3"/>
      <c r="E26" s="8">
        <v>0.02</v>
      </c>
      <c r="G26" s="14">
        <f t="shared" si="0"/>
        <v>2.4000000000000909E-2</v>
      </c>
    </row>
    <row r="27" spans="1:7" x14ac:dyDescent="0.35">
      <c r="A27" s="11" t="s">
        <v>21</v>
      </c>
      <c r="B27" s="9">
        <v>1.03</v>
      </c>
      <c r="C27" s="9">
        <v>1.0149999999999999</v>
      </c>
      <c r="D27" s="3"/>
      <c r="E27" s="8">
        <v>1.48</v>
      </c>
      <c r="G27" s="14">
        <f t="shared" si="0"/>
        <v>1.5000000000000124E-2</v>
      </c>
    </row>
    <row r="28" spans="1:7" x14ac:dyDescent="0.35">
      <c r="A28" s="11" t="s">
        <v>22</v>
      </c>
      <c r="B28" s="9">
        <v>1.1200000000000001</v>
      </c>
      <c r="C28" s="9">
        <v>1.105</v>
      </c>
      <c r="D28" s="3"/>
      <c r="E28" s="8">
        <v>1.36</v>
      </c>
      <c r="G28" s="14">
        <f t="shared" si="0"/>
        <v>1.5000000000000124E-2</v>
      </c>
    </row>
    <row r="29" spans="1:7" ht="15.5" x14ac:dyDescent="0.35">
      <c r="A29" s="6" t="s">
        <v>23</v>
      </c>
      <c r="B29" s="9">
        <v>101.586</v>
      </c>
      <c r="C29" s="9">
        <v>101.40600000000001</v>
      </c>
      <c r="D29" s="3"/>
      <c r="E29" s="8">
        <v>0.18</v>
      </c>
      <c r="G29" s="14">
        <f t="shared" si="0"/>
        <v>0.17999999999999261</v>
      </c>
    </row>
    <row r="30" spans="1:7" ht="15.5" x14ac:dyDescent="0.35">
      <c r="A30" s="6" t="s">
        <v>24</v>
      </c>
      <c r="B30" s="7">
        <v>15149.14</v>
      </c>
      <c r="C30" s="7">
        <v>15105.28</v>
      </c>
      <c r="D30" s="3"/>
      <c r="E30" s="8">
        <v>0.28999999999999998</v>
      </c>
      <c r="G30" s="14">
        <f t="shared" si="0"/>
        <v>43.859999999998763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5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42928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9371.3799999999992</v>
      </c>
      <c r="C3" s="24">
        <v>9267.9</v>
      </c>
      <c r="D3" s="25"/>
      <c r="E3" s="26">
        <f>G3/B3</f>
        <v>1.1042130401285571E-2</v>
      </c>
      <c r="G3" s="14">
        <f>B3-C3</f>
        <v>103.47999999999956</v>
      </c>
    </row>
    <row r="4" spans="1:7" ht="15.5" x14ac:dyDescent="0.35">
      <c r="A4" s="23" t="s">
        <v>26</v>
      </c>
      <c r="B4" s="24">
        <v>2621.42</v>
      </c>
      <c r="C4" s="24">
        <v>2583.42</v>
      </c>
      <c r="D4" s="25"/>
      <c r="E4" s="26">
        <f>G4/B4</f>
        <v>1.449596020477451E-2</v>
      </c>
      <c r="G4" s="14">
        <f>B4-C4</f>
        <v>38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21532.14</v>
      </c>
      <c r="C7" s="7">
        <v>21409.07</v>
      </c>
      <c r="D7" s="3"/>
      <c r="E7" s="8">
        <v>0.56999999999999995</v>
      </c>
      <c r="G7" s="14">
        <f>B7-C7</f>
        <v>123.06999999999971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1757.32</v>
      </c>
      <c r="C9" s="7">
        <v>1745.39</v>
      </c>
      <c r="D9" s="3"/>
      <c r="E9" s="8">
        <v>0.68</v>
      </c>
      <c r="G9" s="14">
        <f t="shared" ref="G9:G30" si="0">B9-C9</f>
        <v>11.929999999999836</v>
      </c>
    </row>
    <row r="10" spans="1:7" ht="15.5" x14ac:dyDescent="0.35">
      <c r="A10" s="6" t="s">
        <v>7</v>
      </c>
      <c r="B10" s="7">
        <v>2443.44</v>
      </c>
      <c r="C10" s="7">
        <v>2425.6999999999998</v>
      </c>
      <c r="D10" s="3"/>
      <c r="E10" s="8">
        <v>0.73</v>
      </c>
      <c r="G10" s="14">
        <f t="shared" si="0"/>
        <v>17.740000000000236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1354.0329999999999</v>
      </c>
      <c r="C12" s="7">
        <v>1344.221</v>
      </c>
      <c r="D12" s="2"/>
      <c r="E12" s="8">
        <v>0.73</v>
      </c>
      <c r="G12" s="14">
        <f t="shared" si="0"/>
        <v>9.8119999999998981</v>
      </c>
    </row>
    <row r="13" spans="1:7" ht="15.5" x14ac:dyDescent="0.35">
      <c r="A13" s="6" t="s">
        <v>9</v>
      </c>
      <c r="B13" s="7">
        <v>1424.299</v>
      </c>
      <c r="C13" s="7">
        <v>1413.05</v>
      </c>
      <c r="D13" s="2"/>
      <c r="E13" s="8">
        <v>0.8</v>
      </c>
      <c r="G13" s="14">
        <f t="shared" si="0"/>
        <v>11.249000000000024</v>
      </c>
    </row>
    <row r="14" spans="1:7" ht="15.5" x14ac:dyDescent="0.35">
      <c r="A14" s="6" t="s">
        <v>10</v>
      </c>
      <c r="B14" s="7">
        <v>1447.904</v>
      </c>
      <c r="C14" s="7">
        <v>1437.3530000000001</v>
      </c>
      <c r="D14" s="2"/>
      <c r="E14" s="8">
        <v>0.73</v>
      </c>
      <c r="G14" s="14">
        <f t="shared" si="0"/>
        <v>10.550999999999931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11825.81</v>
      </c>
      <c r="C16" s="7">
        <v>11745.2</v>
      </c>
      <c r="D16" s="3"/>
      <c r="E16" s="8">
        <v>0.69</v>
      </c>
      <c r="G16" s="14">
        <f t="shared" si="0"/>
        <v>80.609999999998763</v>
      </c>
    </row>
    <row r="17" spans="1:7" ht="15.5" x14ac:dyDescent="0.35">
      <c r="A17" s="6" t="s">
        <v>12</v>
      </c>
      <c r="B17" s="7">
        <v>6261.1710000000003</v>
      </c>
      <c r="C17" s="7">
        <v>6193.3050000000003</v>
      </c>
      <c r="D17" s="3"/>
      <c r="E17" s="8">
        <v>1.1000000000000001</v>
      </c>
      <c r="G17" s="14">
        <f t="shared" si="0"/>
        <v>67.865999999999985</v>
      </c>
    </row>
    <row r="18" spans="1:7" ht="15.5" x14ac:dyDescent="0.35">
      <c r="A18" s="6" t="s">
        <v>13</v>
      </c>
      <c r="B18" s="7">
        <v>2547.1660000000002</v>
      </c>
      <c r="C18" s="7">
        <v>2496.991</v>
      </c>
      <c r="D18" s="3"/>
      <c r="E18" s="8">
        <v>2.0099999999999998</v>
      </c>
      <c r="G18" s="14">
        <f t="shared" si="0"/>
        <v>50.175000000000182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1932.86</v>
      </c>
      <c r="C20" s="7">
        <v>1915.67</v>
      </c>
      <c r="D20" s="2"/>
      <c r="E20" s="8">
        <v>0.9</v>
      </c>
      <c r="G20" s="14">
        <f t="shared" si="0"/>
        <v>17.189999999999827</v>
      </c>
    </row>
    <row r="21" spans="1:7" ht="15.5" x14ac:dyDescent="0.35">
      <c r="A21" s="6" t="s">
        <v>15</v>
      </c>
      <c r="B21" s="7">
        <v>1900.88</v>
      </c>
      <c r="C21" s="7">
        <v>1878.38</v>
      </c>
      <c r="D21" s="2"/>
      <c r="E21" s="8">
        <v>1.2</v>
      </c>
      <c r="G21" s="14">
        <f t="shared" si="0"/>
        <v>22.5</v>
      </c>
    </row>
    <row r="22" spans="1:7" ht="31" x14ac:dyDescent="0.35">
      <c r="A22" s="6" t="s">
        <v>16</v>
      </c>
      <c r="B22" s="7">
        <v>1032.3</v>
      </c>
      <c r="C22" s="7">
        <v>1018.45</v>
      </c>
      <c r="D22" s="2"/>
      <c r="E22" s="8">
        <v>1.36</v>
      </c>
      <c r="G22" s="14">
        <f t="shared" si="0"/>
        <v>13.849999999999909</v>
      </c>
    </row>
    <row r="23" spans="1:7" ht="15.5" x14ac:dyDescent="0.35">
      <c r="A23" s="6" t="s">
        <v>17</v>
      </c>
      <c r="B23" s="7">
        <v>1918.5</v>
      </c>
      <c r="C23" s="7">
        <v>1904.41</v>
      </c>
      <c r="D23" s="3"/>
      <c r="E23" s="8">
        <v>0.74</v>
      </c>
      <c r="G23" s="14">
        <f t="shared" si="0"/>
        <v>14.089999999999918</v>
      </c>
    </row>
    <row r="24" spans="1:7" ht="15.5" x14ac:dyDescent="0.35">
      <c r="A24" s="6" t="s">
        <v>18</v>
      </c>
      <c r="B24" s="9">
        <v>100.5</v>
      </c>
      <c r="C24" s="9">
        <v>100.15600000000001</v>
      </c>
      <c r="D24" s="3"/>
      <c r="E24" s="8">
        <v>0.34</v>
      </c>
      <c r="G24" s="14">
        <f t="shared" si="0"/>
        <v>0.34399999999999409</v>
      </c>
    </row>
    <row r="25" spans="1:7" ht="15.5" x14ac:dyDescent="0.35">
      <c r="A25" s="6" t="s">
        <v>19</v>
      </c>
      <c r="B25" s="9">
        <v>99.421999999999997</v>
      </c>
      <c r="C25" s="9">
        <v>99.233999999999995</v>
      </c>
      <c r="D25" s="3"/>
      <c r="E25" s="8">
        <v>0.19</v>
      </c>
      <c r="G25" s="14">
        <f t="shared" si="0"/>
        <v>0.18800000000000239</v>
      </c>
    </row>
    <row r="26" spans="1:7" ht="15.5" x14ac:dyDescent="0.35">
      <c r="A26" s="6" t="s">
        <v>20</v>
      </c>
      <c r="B26" s="9">
        <v>99.828000000000003</v>
      </c>
      <c r="C26" s="9">
        <v>99.766000000000005</v>
      </c>
      <c r="D26" s="3"/>
      <c r="E26" s="8">
        <v>0.06</v>
      </c>
      <c r="G26" s="14">
        <f t="shared" si="0"/>
        <v>6.1999999999997613E-2</v>
      </c>
    </row>
    <row r="27" spans="1:7" x14ac:dyDescent="0.35">
      <c r="A27" s="11" t="s">
        <v>21</v>
      </c>
      <c r="B27" s="9">
        <v>1.03</v>
      </c>
      <c r="C27" s="9">
        <v>1.03</v>
      </c>
      <c r="D27" s="3"/>
      <c r="E27" s="8">
        <v>0</v>
      </c>
      <c r="G27" s="14">
        <f t="shared" si="0"/>
        <v>0</v>
      </c>
    </row>
    <row r="28" spans="1:7" x14ac:dyDescent="0.35">
      <c r="A28" s="11" t="s">
        <v>22</v>
      </c>
      <c r="B28" s="9">
        <v>1.1100000000000001</v>
      </c>
      <c r="C28" s="9">
        <v>1.1200000000000001</v>
      </c>
      <c r="D28" s="3"/>
      <c r="E28" s="10">
        <v>-0.89</v>
      </c>
      <c r="G28" s="14">
        <f t="shared" si="0"/>
        <v>-1.0000000000000009E-2</v>
      </c>
    </row>
    <row r="29" spans="1:7" ht="15.5" x14ac:dyDescent="0.35">
      <c r="A29" s="6" t="s">
        <v>23</v>
      </c>
      <c r="B29" s="9">
        <v>102.28100000000001</v>
      </c>
      <c r="C29" s="9">
        <v>101.586</v>
      </c>
      <c r="D29" s="3"/>
      <c r="E29" s="8">
        <v>0.68</v>
      </c>
      <c r="G29" s="14">
        <f t="shared" si="0"/>
        <v>0.69500000000000739</v>
      </c>
    </row>
    <row r="30" spans="1:7" ht="15.5" x14ac:dyDescent="0.35">
      <c r="A30" s="6" t="s">
        <v>24</v>
      </c>
      <c r="B30" s="7">
        <v>15143.99</v>
      </c>
      <c r="C30" s="7">
        <v>15149.14</v>
      </c>
      <c r="D30" s="3"/>
      <c r="E30" s="10">
        <v>-0.03</v>
      </c>
      <c r="G30" s="14">
        <f t="shared" si="0"/>
        <v>-5.1499999999996362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6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  <col min="9" max="9" width="9.81640625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42929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9393.9</v>
      </c>
      <c r="C3" s="24">
        <v>9371.3799999999992</v>
      </c>
      <c r="D3" s="25"/>
      <c r="E3" s="26">
        <f>G3/B3</f>
        <v>2.3973003757758161E-3</v>
      </c>
      <c r="G3" s="14">
        <f>B3-C3</f>
        <v>22.520000000000437</v>
      </c>
    </row>
    <row r="4" spans="1:7" ht="15.5" x14ac:dyDescent="0.35">
      <c r="A4" s="23" t="s">
        <v>26</v>
      </c>
      <c r="B4" s="24">
        <v>2643.42</v>
      </c>
      <c r="C4" s="24">
        <v>2621.42</v>
      </c>
      <c r="D4" s="25"/>
      <c r="E4" s="26">
        <f>G4/B4</f>
        <v>8.3225518457150198E-3</v>
      </c>
      <c r="G4" s="14">
        <f>B4-C4</f>
        <v>22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21553.09</v>
      </c>
      <c r="C7" s="7">
        <v>21532.14</v>
      </c>
      <c r="D7" s="3"/>
      <c r="E7" s="8">
        <v>0.1</v>
      </c>
      <c r="G7" s="14">
        <f>B7-C7</f>
        <v>20.950000000000728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1759.33</v>
      </c>
      <c r="C9" s="7">
        <v>1757.32</v>
      </c>
      <c r="D9" s="3"/>
      <c r="E9" s="8">
        <v>0.11</v>
      </c>
      <c r="G9" s="14">
        <f t="shared" ref="G9:G30" si="0">B9-C9</f>
        <v>2.0099999999999909</v>
      </c>
    </row>
    <row r="10" spans="1:7" ht="15.5" x14ac:dyDescent="0.35">
      <c r="A10" s="6" t="s">
        <v>7</v>
      </c>
      <c r="B10" s="7">
        <v>2447.9499999999998</v>
      </c>
      <c r="C10" s="7">
        <v>2443.44</v>
      </c>
      <c r="D10" s="3"/>
      <c r="E10" s="8">
        <v>0.18</v>
      </c>
      <c r="G10" s="14">
        <f t="shared" si="0"/>
        <v>4.5099999999997635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1356.4860000000001</v>
      </c>
      <c r="C12" s="7">
        <v>1354.0329999999999</v>
      </c>
      <c r="D12" s="2"/>
      <c r="E12" s="8">
        <v>0.18</v>
      </c>
      <c r="G12" s="14">
        <f t="shared" si="0"/>
        <v>2.4530000000002019</v>
      </c>
    </row>
    <row r="13" spans="1:7" ht="15.5" x14ac:dyDescent="0.35">
      <c r="A13" s="6" t="s">
        <v>9</v>
      </c>
      <c r="B13" s="7">
        <v>1425.598</v>
      </c>
      <c r="C13" s="7">
        <v>1424.299</v>
      </c>
      <c r="D13" s="2"/>
      <c r="E13" s="8">
        <v>0.09</v>
      </c>
      <c r="G13" s="14">
        <f t="shared" si="0"/>
        <v>1.2989999999999782</v>
      </c>
    </row>
    <row r="14" spans="1:7" ht="15.5" x14ac:dyDescent="0.35">
      <c r="A14" s="6" t="s">
        <v>10</v>
      </c>
      <c r="B14" s="7">
        <v>1450.4259999999999</v>
      </c>
      <c r="C14" s="7">
        <v>1447.904</v>
      </c>
      <c r="D14" s="2"/>
      <c r="E14" s="8">
        <v>0.17</v>
      </c>
      <c r="G14" s="14">
        <f t="shared" si="0"/>
        <v>2.5219999999999345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11844.77</v>
      </c>
      <c r="C16" s="7">
        <v>11825.81</v>
      </c>
      <c r="D16" s="3"/>
      <c r="E16" s="8">
        <v>0.16</v>
      </c>
      <c r="G16" s="14">
        <f t="shared" si="0"/>
        <v>18.960000000000946</v>
      </c>
    </row>
    <row r="17" spans="1:7" ht="15.5" x14ac:dyDescent="0.35">
      <c r="A17" s="6" t="s">
        <v>12</v>
      </c>
      <c r="B17" s="7">
        <v>6274.4369999999999</v>
      </c>
      <c r="C17" s="7">
        <v>6261.1710000000003</v>
      </c>
      <c r="D17" s="3"/>
      <c r="E17" s="8">
        <v>0.21</v>
      </c>
      <c r="G17" s="14">
        <f t="shared" si="0"/>
        <v>13.265999999999622</v>
      </c>
    </row>
    <row r="18" spans="1:7" ht="15.5" x14ac:dyDescent="0.35">
      <c r="A18" s="6" t="s">
        <v>13</v>
      </c>
      <c r="B18" s="7">
        <v>2544.6469999999999</v>
      </c>
      <c r="C18" s="7">
        <v>2547.1660000000002</v>
      </c>
      <c r="D18" s="3"/>
      <c r="E18" s="10">
        <v>-0.1</v>
      </c>
      <c r="G18" s="14">
        <f t="shared" si="0"/>
        <v>-2.5190000000002328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1937.48</v>
      </c>
      <c r="C20" s="7">
        <v>1932.86</v>
      </c>
      <c r="D20" s="2"/>
      <c r="E20" s="8">
        <v>0.24</v>
      </c>
      <c r="G20" s="14">
        <f t="shared" si="0"/>
        <v>4.6200000000001182</v>
      </c>
    </row>
    <row r="21" spans="1:7" ht="15.5" x14ac:dyDescent="0.35">
      <c r="A21" s="6" t="s">
        <v>15</v>
      </c>
      <c r="B21" s="7">
        <v>1906.07</v>
      </c>
      <c r="C21" s="7">
        <v>1900.88</v>
      </c>
      <c r="D21" s="2"/>
      <c r="E21" s="8">
        <v>0.27</v>
      </c>
      <c r="G21" s="14">
        <f t="shared" si="0"/>
        <v>5.1899999999998272</v>
      </c>
    </row>
    <row r="22" spans="1:7" ht="31" x14ac:dyDescent="0.35">
      <c r="A22" s="6" t="s">
        <v>16</v>
      </c>
      <c r="B22" s="7">
        <v>1040.96</v>
      </c>
      <c r="C22" s="7">
        <v>1032.3</v>
      </c>
      <c r="D22" s="2"/>
      <c r="E22" s="8">
        <v>0.84</v>
      </c>
      <c r="G22" s="14">
        <f t="shared" si="0"/>
        <v>8.6600000000000819</v>
      </c>
    </row>
    <row r="23" spans="1:7" ht="15.5" x14ac:dyDescent="0.35">
      <c r="A23" s="6" t="s">
        <v>17</v>
      </c>
      <c r="B23" s="7">
        <v>1923.22</v>
      </c>
      <c r="C23" s="7">
        <v>1918.4970000000001</v>
      </c>
      <c r="D23" s="3"/>
      <c r="E23" s="8">
        <v>0.25</v>
      </c>
      <c r="G23" s="14">
        <f t="shared" si="0"/>
        <v>4.7229999999999563</v>
      </c>
    </row>
    <row r="24" spans="1:7" ht="15.5" x14ac:dyDescent="0.35">
      <c r="A24" s="6" t="s">
        <v>18</v>
      </c>
      <c r="B24" s="9">
        <v>100.297</v>
      </c>
      <c r="C24" s="9">
        <v>100.5</v>
      </c>
      <c r="D24" s="3"/>
      <c r="E24" s="10">
        <v>-0.2</v>
      </c>
      <c r="G24" s="14">
        <f t="shared" si="0"/>
        <v>-0.20300000000000296</v>
      </c>
    </row>
    <row r="25" spans="1:7" ht="15.5" x14ac:dyDescent="0.35">
      <c r="A25" s="6" t="s">
        <v>19</v>
      </c>
      <c r="B25" s="9">
        <v>99.352000000000004</v>
      </c>
      <c r="C25" s="9">
        <v>99.421999999999997</v>
      </c>
      <c r="D25" s="3"/>
      <c r="E25" s="10">
        <v>-7.0000000000000007E-2</v>
      </c>
      <c r="G25" s="14">
        <f t="shared" si="0"/>
        <v>-6.9999999999993179E-2</v>
      </c>
    </row>
    <row r="26" spans="1:7" ht="15.5" x14ac:dyDescent="0.35">
      <c r="A26" s="6" t="s">
        <v>20</v>
      </c>
      <c r="B26" s="9">
        <v>99.789000000000001</v>
      </c>
      <c r="C26" s="9">
        <v>99.828000000000003</v>
      </c>
      <c r="D26" s="3"/>
      <c r="E26" s="10">
        <v>-0.04</v>
      </c>
      <c r="G26" s="14">
        <f t="shared" si="0"/>
        <v>-3.9000000000001478E-2</v>
      </c>
    </row>
    <row r="27" spans="1:7" x14ac:dyDescent="0.35">
      <c r="A27" s="11" t="s">
        <v>21</v>
      </c>
      <c r="B27" s="9">
        <v>1.0149999999999999</v>
      </c>
      <c r="C27" s="9">
        <v>1.03</v>
      </c>
      <c r="D27" s="3"/>
      <c r="E27" s="10">
        <v>-1.46</v>
      </c>
      <c r="G27" s="14">
        <f t="shared" si="0"/>
        <v>-1.5000000000000124E-2</v>
      </c>
    </row>
    <row r="28" spans="1:7" x14ac:dyDescent="0.35">
      <c r="A28" s="11" t="s">
        <v>22</v>
      </c>
      <c r="B28" s="9">
        <v>1.115</v>
      </c>
      <c r="C28" s="9">
        <v>1.1100000000000001</v>
      </c>
      <c r="D28" s="3"/>
      <c r="E28" s="8">
        <v>0.45</v>
      </c>
      <c r="G28" s="14">
        <f t="shared" si="0"/>
        <v>4.9999999999998934E-3</v>
      </c>
    </row>
    <row r="29" spans="1:7" ht="15.5" x14ac:dyDescent="0.35">
      <c r="A29" s="6" t="s">
        <v>23</v>
      </c>
      <c r="B29" s="9">
        <v>101.73399999999999</v>
      </c>
      <c r="C29" s="9">
        <v>102.28100000000001</v>
      </c>
      <c r="D29" s="3"/>
      <c r="E29" s="10">
        <v>-0.53</v>
      </c>
      <c r="G29" s="14">
        <f t="shared" si="0"/>
        <v>-0.54700000000001125</v>
      </c>
    </row>
    <row r="30" spans="1:7" ht="15.5" x14ac:dyDescent="0.35">
      <c r="A30" s="6" t="s">
        <v>24</v>
      </c>
      <c r="B30" s="7">
        <v>15135</v>
      </c>
      <c r="C30" s="7">
        <v>15143.99</v>
      </c>
      <c r="D30" s="3"/>
      <c r="E30" s="10">
        <v>-0.06</v>
      </c>
      <c r="G30" s="14">
        <f t="shared" si="0"/>
        <v>-8.9899999999997817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7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42930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9485.5400000000009</v>
      </c>
      <c r="C3" s="24">
        <v>9393.9</v>
      </c>
      <c r="D3" s="25"/>
      <c r="E3" s="26">
        <f>G3/B3</f>
        <v>9.6610208802030487E-3</v>
      </c>
      <c r="G3" s="14">
        <f>B3-C3</f>
        <v>91.640000000001237</v>
      </c>
    </row>
    <row r="4" spans="1:7" ht="15.5" x14ac:dyDescent="0.35">
      <c r="A4" s="23" t="s">
        <v>26</v>
      </c>
      <c r="B4" s="24">
        <v>2666.71</v>
      </c>
      <c r="C4" s="24">
        <v>2643.42</v>
      </c>
      <c r="D4" s="25"/>
      <c r="E4" s="26">
        <f>G4/B4</f>
        <v>8.7336080788687053E-3</v>
      </c>
      <c r="G4" s="14">
        <f>B4-C4</f>
        <v>23.289999999999964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21637.74</v>
      </c>
      <c r="C7" s="7">
        <v>21553.09</v>
      </c>
      <c r="D7" s="3"/>
      <c r="E7" s="8">
        <v>0.39</v>
      </c>
      <c r="G7" s="14">
        <f>B7-C7</f>
        <v>84.650000000001455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1765.27</v>
      </c>
      <c r="C9" s="7">
        <v>1759.33</v>
      </c>
      <c r="D9" s="3"/>
      <c r="E9" s="8">
        <v>0.34</v>
      </c>
      <c r="G9" s="14">
        <f t="shared" ref="G9:G30" si="0">B9-C9</f>
        <v>5.9400000000000546</v>
      </c>
    </row>
    <row r="10" spans="1:7" ht="15.5" x14ac:dyDescent="0.35">
      <c r="A10" s="6" t="s">
        <v>7</v>
      </c>
      <c r="B10" s="7">
        <v>2459.23</v>
      </c>
      <c r="C10" s="7">
        <v>2447.9499999999998</v>
      </c>
      <c r="D10" s="3"/>
      <c r="E10" s="8">
        <v>0.46</v>
      </c>
      <c r="G10" s="14">
        <f t="shared" si="0"/>
        <v>11.2800000000002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1362.5809999999999</v>
      </c>
      <c r="C12" s="7">
        <v>1356.4860000000001</v>
      </c>
      <c r="D12" s="2"/>
      <c r="E12" s="8">
        <v>0.45</v>
      </c>
      <c r="G12" s="14">
        <f t="shared" si="0"/>
        <v>6.0949999999997999</v>
      </c>
    </row>
    <row r="13" spans="1:7" ht="15.5" x14ac:dyDescent="0.35">
      <c r="A13" s="6" t="s">
        <v>9</v>
      </c>
      <c r="B13" s="7">
        <v>1428.4670000000001</v>
      </c>
      <c r="C13" s="7">
        <v>1425.598</v>
      </c>
      <c r="D13" s="2"/>
      <c r="E13" s="8">
        <v>0.2</v>
      </c>
      <c r="G13" s="14">
        <f t="shared" si="0"/>
        <v>2.8690000000001419</v>
      </c>
    </row>
    <row r="14" spans="1:7" ht="15.5" x14ac:dyDescent="0.35">
      <c r="A14" s="6" t="s">
        <v>10</v>
      </c>
      <c r="B14" s="7">
        <v>1456.662</v>
      </c>
      <c r="C14" s="7">
        <v>1450.4259999999999</v>
      </c>
      <c r="D14" s="2"/>
      <c r="E14" s="8">
        <v>0.43</v>
      </c>
      <c r="G14" s="14">
        <f t="shared" si="0"/>
        <v>6.2360000000001037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11897.21</v>
      </c>
      <c r="C16" s="7">
        <v>11844.77</v>
      </c>
      <c r="D16" s="3"/>
      <c r="E16" s="8">
        <v>0.44</v>
      </c>
      <c r="G16" s="14">
        <f t="shared" si="0"/>
        <v>52.43999999999869</v>
      </c>
    </row>
    <row r="17" spans="1:7" ht="15.5" x14ac:dyDescent="0.35">
      <c r="A17" s="6" t="s">
        <v>12</v>
      </c>
      <c r="B17" s="7">
        <v>6312.4650000000001</v>
      </c>
      <c r="C17" s="7">
        <v>6274.4369999999999</v>
      </c>
      <c r="D17" s="3"/>
      <c r="E17" s="8">
        <v>0.61</v>
      </c>
      <c r="G17" s="14">
        <f t="shared" si="0"/>
        <v>38.028000000000247</v>
      </c>
    </row>
    <row r="18" spans="1:7" ht="15.5" x14ac:dyDescent="0.35">
      <c r="A18" s="6" t="s">
        <v>13</v>
      </c>
      <c r="B18" s="7">
        <v>2569.8449999999998</v>
      </c>
      <c r="C18" s="7">
        <v>2544.6469999999999</v>
      </c>
      <c r="D18" s="3"/>
      <c r="E18" s="8">
        <v>0.99</v>
      </c>
      <c r="G18" s="14">
        <f t="shared" si="0"/>
        <v>25.197999999999865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1948.07</v>
      </c>
      <c r="C20" s="7">
        <v>1937.48</v>
      </c>
      <c r="D20" s="2"/>
      <c r="E20" s="8">
        <v>0.55000000000000004</v>
      </c>
      <c r="G20" s="14">
        <f t="shared" si="0"/>
        <v>10.589999999999918</v>
      </c>
    </row>
    <row r="21" spans="1:7" ht="15.5" x14ac:dyDescent="0.35">
      <c r="A21" s="6" t="s">
        <v>15</v>
      </c>
      <c r="B21" s="7">
        <v>1918.74</v>
      </c>
      <c r="C21" s="7">
        <v>1906.07</v>
      </c>
      <c r="D21" s="2"/>
      <c r="E21" s="8">
        <v>0.66</v>
      </c>
      <c r="G21" s="14">
        <f t="shared" si="0"/>
        <v>12.670000000000073</v>
      </c>
    </row>
    <row r="22" spans="1:7" ht="31" x14ac:dyDescent="0.35">
      <c r="A22" s="6" t="s">
        <v>16</v>
      </c>
      <c r="B22" s="7">
        <v>1047.05</v>
      </c>
      <c r="C22" s="7">
        <v>1040.96</v>
      </c>
      <c r="D22" s="2"/>
      <c r="E22" s="8">
        <v>0.59</v>
      </c>
      <c r="G22" s="14">
        <f t="shared" si="0"/>
        <v>6.0899999999999181</v>
      </c>
    </row>
    <row r="23" spans="1:7" ht="15.5" x14ac:dyDescent="0.35">
      <c r="A23" s="6" t="s">
        <v>17</v>
      </c>
      <c r="B23" s="7">
        <v>1931.37</v>
      </c>
      <c r="C23" s="7">
        <v>1923.2239999999999</v>
      </c>
      <c r="D23" s="3"/>
      <c r="E23" s="8">
        <v>0.42</v>
      </c>
      <c r="G23" s="14">
        <f t="shared" si="0"/>
        <v>8.1459999999999582</v>
      </c>
    </row>
    <row r="24" spans="1:7" ht="15.5" x14ac:dyDescent="0.35">
      <c r="A24" s="6" t="s">
        <v>18</v>
      </c>
      <c r="B24" s="9">
        <v>100.438</v>
      </c>
      <c r="C24" s="9">
        <v>100.297</v>
      </c>
      <c r="D24" s="3"/>
      <c r="E24" s="8">
        <v>0.14000000000000001</v>
      </c>
      <c r="G24" s="14">
        <f t="shared" si="0"/>
        <v>0.14100000000000534</v>
      </c>
    </row>
    <row r="25" spans="1:7" ht="15.5" x14ac:dyDescent="0.35">
      <c r="A25" s="6" t="s">
        <v>19</v>
      </c>
      <c r="B25" s="9">
        <v>99.468999999999994</v>
      </c>
      <c r="C25" s="9">
        <v>99.352000000000004</v>
      </c>
      <c r="D25" s="3"/>
      <c r="E25" s="8">
        <v>0.12</v>
      </c>
      <c r="G25" s="14">
        <f t="shared" si="0"/>
        <v>0.11699999999999022</v>
      </c>
    </row>
    <row r="26" spans="1:7" ht="15.5" x14ac:dyDescent="0.35">
      <c r="A26" s="6" t="s">
        <v>20</v>
      </c>
      <c r="B26" s="9">
        <v>99.805000000000007</v>
      </c>
      <c r="C26" s="9">
        <v>99.789000000000001</v>
      </c>
      <c r="D26" s="3"/>
      <c r="E26" s="8">
        <v>0.02</v>
      </c>
      <c r="G26" s="14">
        <f t="shared" si="0"/>
        <v>1.6000000000005343E-2</v>
      </c>
    </row>
    <row r="27" spans="1:7" x14ac:dyDescent="0.35">
      <c r="A27" s="11" t="s">
        <v>21</v>
      </c>
      <c r="B27" s="9">
        <v>1.0149999999999999</v>
      </c>
      <c r="C27" s="9">
        <v>1.0149999999999999</v>
      </c>
      <c r="D27" s="3"/>
      <c r="E27" s="8">
        <v>0</v>
      </c>
      <c r="G27" s="14">
        <f t="shared" si="0"/>
        <v>0</v>
      </c>
    </row>
    <row r="28" spans="1:7" x14ac:dyDescent="0.35">
      <c r="A28" s="11" t="s">
        <v>22</v>
      </c>
      <c r="B28" s="9">
        <v>1.1000000000000001</v>
      </c>
      <c r="C28" s="9">
        <v>1.115</v>
      </c>
      <c r="D28" s="3"/>
      <c r="E28" s="10">
        <v>-1.35</v>
      </c>
      <c r="G28" s="14">
        <f t="shared" si="0"/>
        <v>-1.4999999999999902E-2</v>
      </c>
    </row>
    <row r="29" spans="1:7" ht="15.5" x14ac:dyDescent="0.35">
      <c r="A29" s="6" t="s">
        <v>23</v>
      </c>
      <c r="B29" s="9">
        <v>101.68</v>
      </c>
      <c r="C29" s="9">
        <v>101.73399999999999</v>
      </c>
      <c r="D29" s="3"/>
      <c r="E29" s="10">
        <v>-0.05</v>
      </c>
      <c r="G29" s="14">
        <f t="shared" si="0"/>
        <v>-5.3999999999987836E-2</v>
      </c>
    </row>
    <row r="30" spans="1:7" ht="15.5" x14ac:dyDescent="0.35">
      <c r="A30" s="6" t="s">
        <v>24</v>
      </c>
      <c r="B30" s="7">
        <v>15174.81</v>
      </c>
      <c r="C30" s="7">
        <v>15135</v>
      </c>
      <c r="D30" s="3"/>
      <c r="E30" s="8">
        <v>0.26</v>
      </c>
      <c r="G30" s="14">
        <f t="shared" si="0"/>
        <v>39.809999999999491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8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42933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9564.93</v>
      </c>
      <c r="C3" s="24">
        <v>9485.5400000000009</v>
      </c>
      <c r="D3" s="25"/>
      <c r="E3" s="26">
        <f>G3/B3</f>
        <v>8.3001130170319501E-3</v>
      </c>
      <c r="G3" s="14">
        <f>B3-C3</f>
        <v>79.389999999999418</v>
      </c>
    </row>
    <row r="4" spans="1:7" ht="15.5" x14ac:dyDescent="0.35">
      <c r="A4" s="23" t="s">
        <v>26</v>
      </c>
      <c r="B4" s="24">
        <v>2677.06</v>
      </c>
      <c r="C4" s="24">
        <v>2666.71</v>
      </c>
      <c r="D4" s="25"/>
      <c r="E4" s="26">
        <f>G4/B4</f>
        <v>3.8661815573800772E-3</v>
      </c>
      <c r="G4" s="14">
        <f>B4-C4</f>
        <v>10.349999999999909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21629.72</v>
      </c>
      <c r="C7" s="7">
        <v>21637.74</v>
      </c>
      <c r="D7" s="3"/>
      <c r="E7" s="10">
        <v>-0.04</v>
      </c>
      <c r="G7" s="14">
        <f>B7-C7</f>
        <v>-8.0200000000004366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1768.14</v>
      </c>
      <c r="C9" s="7">
        <v>1765.27</v>
      </c>
      <c r="D9" s="3"/>
      <c r="E9" s="8">
        <v>0.16</v>
      </c>
      <c r="G9" s="14">
        <f t="shared" ref="G9:G30" si="0">B9-C9</f>
        <v>2.8700000000001182</v>
      </c>
    </row>
    <row r="10" spans="1:7" ht="15.5" x14ac:dyDescent="0.35">
      <c r="A10" s="6" t="s">
        <v>7</v>
      </c>
      <c r="B10" s="7">
        <v>2459.13</v>
      </c>
      <c r="C10" s="7">
        <v>2459.23</v>
      </c>
      <c r="D10" s="3"/>
      <c r="E10" s="10">
        <v>0</v>
      </c>
      <c r="G10" s="14">
        <f t="shared" si="0"/>
        <v>-9.9999999999909051E-2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1362.6210000000001</v>
      </c>
      <c r="C12" s="7">
        <v>1362.5809999999999</v>
      </c>
      <c r="D12" s="2"/>
      <c r="E12" s="8">
        <v>0</v>
      </c>
      <c r="G12" s="14">
        <f t="shared" si="0"/>
        <v>4.0000000000190994E-2</v>
      </c>
    </row>
    <row r="13" spans="1:7" ht="15.5" x14ac:dyDescent="0.35">
      <c r="A13" s="6" t="s">
        <v>9</v>
      </c>
      <c r="B13" s="7">
        <v>1431.4110000000001</v>
      </c>
      <c r="C13" s="7">
        <v>1428.4670000000001</v>
      </c>
      <c r="D13" s="2"/>
      <c r="E13" s="8">
        <v>0.21</v>
      </c>
      <c r="G13" s="14">
        <f t="shared" si="0"/>
        <v>2.94399999999996</v>
      </c>
    </row>
    <row r="14" spans="1:7" ht="15.5" x14ac:dyDescent="0.35">
      <c r="A14" s="6" t="s">
        <v>10</v>
      </c>
      <c r="B14" s="7">
        <v>1456.9190000000001</v>
      </c>
      <c r="C14" s="7">
        <v>1456.662</v>
      </c>
      <c r="D14" s="2"/>
      <c r="E14" s="8">
        <v>0.02</v>
      </c>
      <c r="G14" s="14">
        <f t="shared" si="0"/>
        <v>0.25700000000006185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11890.52</v>
      </c>
      <c r="C16" s="7">
        <v>11897.21</v>
      </c>
      <c r="D16" s="3"/>
      <c r="E16" s="10">
        <v>-0.06</v>
      </c>
      <c r="G16" s="14">
        <f t="shared" si="0"/>
        <v>-6.6899999999986903</v>
      </c>
    </row>
    <row r="17" spans="1:7" ht="15.5" x14ac:dyDescent="0.35">
      <c r="A17" s="6" t="s">
        <v>12</v>
      </c>
      <c r="B17" s="7">
        <v>6314.4309999999996</v>
      </c>
      <c r="C17" s="7">
        <v>6312.4650000000001</v>
      </c>
      <c r="D17" s="3"/>
      <c r="E17" s="8">
        <v>0.03</v>
      </c>
      <c r="G17" s="14">
        <f t="shared" si="0"/>
        <v>1.9659999999994398</v>
      </c>
    </row>
    <row r="18" spans="1:7" ht="15.5" x14ac:dyDescent="0.35">
      <c r="A18" s="6" t="s">
        <v>13</v>
      </c>
      <c r="B18" s="7">
        <v>2561.1799999999998</v>
      </c>
      <c r="C18" s="7">
        <v>2569.8449999999998</v>
      </c>
      <c r="D18" s="3"/>
      <c r="E18" s="10">
        <v>-0.34</v>
      </c>
      <c r="G18" s="14">
        <f t="shared" si="0"/>
        <v>-8.6649999999999636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1948.58</v>
      </c>
      <c r="C20" s="7">
        <v>1948.07</v>
      </c>
      <c r="D20" s="2"/>
      <c r="E20" s="8">
        <v>0.03</v>
      </c>
      <c r="G20" s="14">
        <f t="shared" si="0"/>
        <v>0.50999999999999091</v>
      </c>
    </row>
    <row r="21" spans="1:7" ht="15.5" x14ac:dyDescent="0.35">
      <c r="A21" s="6" t="s">
        <v>15</v>
      </c>
      <c r="B21" s="7">
        <v>1920.25</v>
      </c>
      <c r="C21" s="7">
        <v>1918.74</v>
      </c>
      <c r="D21" s="2"/>
      <c r="E21" s="8">
        <v>0.08</v>
      </c>
      <c r="G21" s="14">
        <f t="shared" si="0"/>
        <v>1.5099999999999909</v>
      </c>
    </row>
    <row r="22" spans="1:7" ht="31" x14ac:dyDescent="0.35">
      <c r="A22" s="6" t="s">
        <v>16</v>
      </c>
      <c r="B22" s="7">
        <v>1051.55</v>
      </c>
      <c r="C22" s="7">
        <v>1047.05</v>
      </c>
      <c r="D22" s="2"/>
      <c r="E22" s="8">
        <v>0.43</v>
      </c>
      <c r="G22" s="14">
        <f t="shared" si="0"/>
        <v>4.5</v>
      </c>
    </row>
    <row r="23" spans="1:7" ht="15.5" x14ac:dyDescent="0.35">
      <c r="A23" s="6" t="s">
        <v>17</v>
      </c>
      <c r="B23" s="7">
        <v>1934.89</v>
      </c>
      <c r="C23" s="7">
        <v>1931.373</v>
      </c>
      <c r="D23" s="3"/>
      <c r="E23" s="8">
        <v>0.18</v>
      </c>
      <c r="G23" s="14">
        <f t="shared" si="0"/>
        <v>3.5170000000000528</v>
      </c>
    </row>
    <row r="24" spans="1:7" ht="15.5" x14ac:dyDescent="0.35">
      <c r="A24" s="6" t="s">
        <v>18</v>
      </c>
      <c r="B24" s="9">
        <v>100.53100000000001</v>
      </c>
      <c r="C24" s="9">
        <v>100.438</v>
      </c>
      <c r="D24" s="3"/>
      <c r="E24" s="8">
        <v>0.09</v>
      </c>
      <c r="G24" s="14">
        <f t="shared" si="0"/>
        <v>9.3000000000003524E-2</v>
      </c>
    </row>
    <row r="25" spans="1:7" ht="15.5" x14ac:dyDescent="0.35">
      <c r="A25" s="6" t="s">
        <v>19</v>
      </c>
      <c r="B25" s="9">
        <v>99.492000000000004</v>
      </c>
      <c r="C25" s="9">
        <v>99.468999999999994</v>
      </c>
      <c r="D25" s="3"/>
      <c r="E25" s="8">
        <v>0.02</v>
      </c>
      <c r="G25" s="14">
        <f t="shared" si="0"/>
        <v>2.3000000000010346E-2</v>
      </c>
    </row>
    <row r="26" spans="1:7" ht="15.5" x14ac:dyDescent="0.35">
      <c r="A26" s="6" t="s">
        <v>20</v>
      </c>
      <c r="B26" s="9">
        <v>99.796999999999997</v>
      </c>
      <c r="C26" s="9">
        <v>99.805000000000007</v>
      </c>
      <c r="D26" s="3"/>
      <c r="E26" s="10">
        <v>-0.01</v>
      </c>
      <c r="G26" s="14">
        <f t="shared" si="0"/>
        <v>-8.0000000000097771E-3</v>
      </c>
    </row>
    <row r="27" spans="1:7" x14ac:dyDescent="0.35">
      <c r="A27" s="11" t="s">
        <v>21</v>
      </c>
      <c r="B27" s="9">
        <v>1.02</v>
      </c>
      <c r="C27" s="9">
        <v>1.0149999999999999</v>
      </c>
      <c r="D27" s="3"/>
      <c r="E27" s="8">
        <v>0.49</v>
      </c>
      <c r="G27" s="14">
        <f t="shared" si="0"/>
        <v>5.0000000000001155E-3</v>
      </c>
    </row>
    <row r="28" spans="1:7" x14ac:dyDescent="0.35">
      <c r="A28" s="11" t="s">
        <v>22</v>
      </c>
      <c r="B28" s="9">
        <v>1.085</v>
      </c>
      <c r="C28" s="9">
        <v>1.1000000000000001</v>
      </c>
      <c r="D28" s="3"/>
      <c r="E28" s="10">
        <v>-1.36</v>
      </c>
      <c r="G28" s="14">
        <f t="shared" si="0"/>
        <v>-1.5000000000000124E-2</v>
      </c>
    </row>
    <row r="29" spans="1:7" ht="15.5" x14ac:dyDescent="0.35">
      <c r="A29" s="6" t="s">
        <v>23</v>
      </c>
      <c r="B29" s="9">
        <v>101.938</v>
      </c>
      <c r="C29" s="9">
        <v>101.68</v>
      </c>
      <c r="D29" s="3"/>
      <c r="E29" s="8">
        <v>0.25</v>
      </c>
      <c r="G29" s="14">
        <f t="shared" si="0"/>
        <v>0.25799999999999557</v>
      </c>
    </row>
    <row r="30" spans="1:7" ht="15.5" x14ac:dyDescent="0.35">
      <c r="A30" s="6" t="s">
        <v>24</v>
      </c>
      <c r="B30" s="7">
        <v>15165.36</v>
      </c>
      <c r="C30" s="7">
        <v>15174.81</v>
      </c>
      <c r="D30" s="3"/>
      <c r="E30" s="10">
        <v>-0.06</v>
      </c>
      <c r="G30" s="14">
        <f t="shared" si="0"/>
        <v>-9.4499999999989086</v>
      </c>
    </row>
  </sheetData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9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42934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9547.85</v>
      </c>
      <c r="C3" s="24">
        <v>9564.93</v>
      </c>
      <c r="D3" s="25"/>
      <c r="E3" s="26">
        <f>G3/B3</f>
        <v>-1.7888844085317561E-3</v>
      </c>
      <c r="G3" s="14">
        <f>B3-C3</f>
        <v>-17.079999999999927</v>
      </c>
    </row>
    <row r="4" spans="1:7" ht="15.5" x14ac:dyDescent="0.35">
      <c r="A4" s="23" t="s">
        <v>26</v>
      </c>
      <c r="B4" s="24">
        <v>2679.88</v>
      </c>
      <c r="C4" s="24">
        <v>2677.06</v>
      </c>
      <c r="D4" s="25"/>
      <c r="E4" s="26">
        <f>G4/B4</f>
        <v>1.0522859232503557E-3</v>
      </c>
      <c r="G4" s="14">
        <f>B4-C4</f>
        <v>2.8200000000001637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21574.73</v>
      </c>
      <c r="C7" s="7">
        <v>21629.72</v>
      </c>
      <c r="D7" s="3"/>
      <c r="E7" s="10">
        <v>-0.25</v>
      </c>
      <c r="G7" s="14">
        <f>B7-C7</f>
        <v>-54.990000000001601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1763.01</v>
      </c>
      <c r="C9" s="7">
        <v>1768.14</v>
      </c>
      <c r="D9" s="3"/>
      <c r="E9" s="10">
        <v>-0.28999999999999998</v>
      </c>
      <c r="G9" s="14">
        <f t="shared" ref="G9:G30" si="0">B9-C9</f>
        <v>-5.1300000000001091</v>
      </c>
    </row>
    <row r="10" spans="1:7" ht="15.5" x14ac:dyDescent="0.35">
      <c r="A10" s="6" t="s">
        <v>7</v>
      </c>
      <c r="B10" s="7">
        <v>2460.6799999999998</v>
      </c>
      <c r="C10" s="7">
        <v>2459.13</v>
      </c>
      <c r="D10" s="3"/>
      <c r="E10" s="8">
        <v>0.06</v>
      </c>
      <c r="G10" s="14">
        <f t="shared" si="0"/>
        <v>1.5499999999997272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1363.2439999999999</v>
      </c>
      <c r="C12" s="7">
        <v>1362.6210000000001</v>
      </c>
      <c r="D12" s="2"/>
      <c r="E12" s="8">
        <v>0.05</v>
      </c>
      <c r="G12" s="14">
        <f t="shared" si="0"/>
        <v>0.62299999999981992</v>
      </c>
    </row>
    <row r="13" spans="1:7" ht="15.5" x14ac:dyDescent="0.35">
      <c r="A13" s="6" t="s">
        <v>9</v>
      </c>
      <c r="B13" s="7">
        <v>1427.529</v>
      </c>
      <c r="C13" s="7">
        <v>1431.4110000000001</v>
      </c>
      <c r="D13" s="2"/>
      <c r="E13" s="10">
        <v>-0.27</v>
      </c>
      <c r="G13" s="14">
        <f t="shared" si="0"/>
        <v>-3.8820000000000618</v>
      </c>
    </row>
    <row r="14" spans="1:7" ht="15.5" x14ac:dyDescent="0.35">
      <c r="A14" s="6" t="s">
        <v>10</v>
      </c>
      <c r="B14" s="7">
        <v>1457.2529999999999</v>
      </c>
      <c r="C14" s="7">
        <v>1456.9190000000001</v>
      </c>
      <c r="D14" s="2"/>
      <c r="E14" s="8">
        <v>0.02</v>
      </c>
      <c r="G14" s="14">
        <f t="shared" si="0"/>
        <v>0.33399999999983265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11877.37</v>
      </c>
      <c r="C16" s="7">
        <v>11890.52</v>
      </c>
      <c r="D16" s="3"/>
      <c r="E16" s="10">
        <v>-0.11</v>
      </c>
      <c r="G16" s="14">
        <f t="shared" si="0"/>
        <v>-13.149999999999636</v>
      </c>
    </row>
    <row r="17" spans="1:7" ht="15.5" x14ac:dyDescent="0.35">
      <c r="A17" s="6" t="s">
        <v>12</v>
      </c>
      <c r="B17" s="7">
        <v>6344.3050000000003</v>
      </c>
      <c r="C17" s="7">
        <v>6314.4309999999996</v>
      </c>
      <c r="D17" s="3"/>
      <c r="E17" s="8">
        <v>0.47</v>
      </c>
      <c r="G17" s="14">
        <f t="shared" si="0"/>
        <v>29.874000000000706</v>
      </c>
    </row>
    <row r="18" spans="1:7" ht="15.5" x14ac:dyDescent="0.35">
      <c r="A18" s="6" t="s">
        <v>13</v>
      </c>
      <c r="B18" s="7">
        <v>2539.6779999999999</v>
      </c>
      <c r="C18" s="7">
        <v>2561.1799999999998</v>
      </c>
      <c r="D18" s="3"/>
      <c r="E18" s="10">
        <v>-0.84</v>
      </c>
      <c r="G18" s="14">
        <f t="shared" si="0"/>
        <v>-21.501999999999953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1949.66</v>
      </c>
      <c r="C20" s="7">
        <v>1948.58</v>
      </c>
      <c r="D20" s="2"/>
      <c r="E20" s="8">
        <v>0.06</v>
      </c>
      <c r="G20" s="14">
        <f t="shared" si="0"/>
        <v>1.0800000000001546</v>
      </c>
    </row>
    <row r="21" spans="1:7" ht="15.5" x14ac:dyDescent="0.35">
      <c r="A21" s="6" t="s">
        <v>15</v>
      </c>
      <c r="B21" s="7">
        <v>1921.05</v>
      </c>
      <c r="C21" s="7">
        <v>1920.25</v>
      </c>
      <c r="D21" s="2"/>
      <c r="E21" s="8">
        <v>0.04</v>
      </c>
      <c r="G21" s="14">
        <f t="shared" si="0"/>
        <v>0.79999999999995453</v>
      </c>
    </row>
    <row r="22" spans="1:7" ht="31" x14ac:dyDescent="0.35">
      <c r="A22" s="6" t="s">
        <v>16</v>
      </c>
      <c r="B22" s="7">
        <v>1053.23</v>
      </c>
      <c r="C22" s="7">
        <v>1051.55</v>
      </c>
      <c r="D22" s="2"/>
      <c r="E22" s="8">
        <v>0.16</v>
      </c>
      <c r="G22" s="14">
        <f t="shared" si="0"/>
        <v>1.6800000000000637</v>
      </c>
    </row>
    <row r="23" spans="1:7" ht="15.5" x14ac:dyDescent="0.35">
      <c r="A23" s="6" t="s">
        <v>17</v>
      </c>
      <c r="B23" s="7">
        <v>1930.15</v>
      </c>
      <c r="C23" s="7">
        <v>1934.8920000000001</v>
      </c>
      <c r="D23" s="3"/>
      <c r="E23" s="10">
        <v>-0.24</v>
      </c>
      <c r="G23" s="14">
        <f t="shared" si="0"/>
        <v>-4.7419999999999618</v>
      </c>
    </row>
    <row r="24" spans="1:7" ht="15.5" x14ac:dyDescent="0.35">
      <c r="A24" s="6" t="s">
        <v>18</v>
      </c>
      <c r="B24" s="9">
        <v>101.02</v>
      </c>
      <c r="C24" s="9">
        <v>100.53100000000001</v>
      </c>
      <c r="D24" s="3"/>
      <c r="E24" s="8">
        <v>0.49</v>
      </c>
      <c r="G24" s="14">
        <f t="shared" si="0"/>
        <v>0.48899999999999011</v>
      </c>
    </row>
    <row r="25" spans="1:7" ht="15.5" x14ac:dyDescent="0.35">
      <c r="A25" s="6" t="s">
        <v>19</v>
      </c>
      <c r="B25" s="9">
        <v>99.710999999999999</v>
      </c>
      <c r="C25" s="9">
        <v>99.492000000000004</v>
      </c>
      <c r="D25" s="3"/>
      <c r="E25" s="8">
        <v>0.22</v>
      </c>
      <c r="G25" s="14">
        <f t="shared" si="0"/>
        <v>0.21899999999999409</v>
      </c>
    </row>
    <row r="26" spans="1:7" ht="15.5" x14ac:dyDescent="0.35">
      <c r="A26" s="6" t="s">
        <v>20</v>
      </c>
      <c r="B26" s="9">
        <v>99.813000000000002</v>
      </c>
      <c r="C26" s="9">
        <v>99.796999999999997</v>
      </c>
      <c r="D26" s="3"/>
      <c r="E26" s="8">
        <v>0.02</v>
      </c>
      <c r="G26" s="14">
        <f t="shared" si="0"/>
        <v>1.6000000000005343E-2</v>
      </c>
    </row>
    <row r="27" spans="1:7" x14ac:dyDescent="0.35">
      <c r="A27" s="11" t="s">
        <v>21</v>
      </c>
      <c r="B27" s="9">
        <v>1.0349999999999999</v>
      </c>
      <c r="C27" s="9">
        <v>1.02</v>
      </c>
      <c r="D27" s="3"/>
      <c r="E27" s="8">
        <v>1.47</v>
      </c>
      <c r="G27" s="14">
        <f t="shared" si="0"/>
        <v>1.4999999999999902E-2</v>
      </c>
    </row>
    <row r="28" spans="1:7" x14ac:dyDescent="0.35">
      <c r="A28" s="11" t="s">
        <v>22</v>
      </c>
      <c r="B28" s="9">
        <v>1.085</v>
      </c>
      <c r="C28" s="9">
        <v>1.085</v>
      </c>
      <c r="D28" s="3"/>
      <c r="E28" s="8">
        <v>0</v>
      </c>
      <c r="G28" s="14">
        <f t="shared" si="0"/>
        <v>0</v>
      </c>
    </row>
    <row r="29" spans="1:7" ht="15.5" x14ac:dyDescent="0.35">
      <c r="A29" s="6" t="s">
        <v>23</v>
      </c>
      <c r="B29" s="9">
        <v>103.07</v>
      </c>
      <c r="C29" s="9">
        <v>101.938</v>
      </c>
      <c r="D29" s="3"/>
      <c r="E29" s="8">
        <v>1.1100000000000001</v>
      </c>
      <c r="G29" s="14">
        <f t="shared" si="0"/>
        <v>1.1319999999999908</v>
      </c>
    </row>
    <row r="30" spans="1:7" ht="15.5" x14ac:dyDescent="0.35">
      <c r="A30" s="6" t="s">
        <v>24</v>
      </c>
      <c r="B30" s="7">
        <v>15149.57</v>
      </c>
      <c r="C30" s="7">
        <v>15165.36</v>
      </c>
      <c r="D30" s="3"/>
      <c r="E30" s="10">
        <v>-0.1</v>
      </c>
      <c r="G30" s="14">
        <f t="shared" si="0"/>
        <v>-15.790000000000873</v>
      </c>
    </row>
  </sheetData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60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42935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9618.9699999999993</v>
      </c>
      <c r="C3" s="24">
        <v>9547.85</v>
      </c>
      <c r="D3" s="25"/>
      <c r="E3" s="26">
        <f>G3/B3</f>
        <v>7.3937230285570062E-3</v>
      </c>
      <c r="G3" s="14">
        <f>B3-C3</f>
        <v>71.119999999998981</v>
      </c>
    </row>
    <row r="4" spans="1:7" ht="15.5" x14ac:dyDescent="0.35">
      <c r="A4" s="23" t="s">
        <v>26</v>
      </c>
      <c r="B4" s="24">
        <v>2702.13</v>
      </c>
      <c r="C4" s="24">
        <v>2679.88</v>
      </c>
      <c r="D4" s="25"/>
      <c r="E4" s="26">
        <f>G4/B4</f>
        <v>8.2342448364808498E-3</v>
      </c>
      <c r="G4" s="14">
        <f>B4-C4</f>
        <v>22.25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21640.75</v>
      </c>
      <c r="C7" s="7">
        <v>21574.73</v>
      </c>
      <c r="D7" s="3"/>
      <c r="E7" s="8">
        <v>0.31</v>
      </c>
      <c r="G7" s="14">
        <f>B7-C7</f>
        <v>66.020000000000437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1780.41</v>
      </c>
      <c r="C9" s="7">
        <v>1763.01</v>
      </c>
      <c r="D9" s="3"/>
      <c r="E9" s="8">
        <v>0.99</v>
      </c>
      <c r="G9" s="14">
        <f t="shared" ref="G9:G30" si="0">B9-C9</f>
        <v>17.400000000000091</v>
      </c>
    </row>
    <row r="10" spans="1:7" ht="15.5" x14ac:dyDescent="0.35">
      <c r="A10" s="6" t="s">
        <v>7</v>
      </c>
      <c r="B10" s="7">
        <v>2473.58</v>
      </c>
      <c r="C10" s="7">
        <v>2460.6799999999998</v>
      </c>
      <c r="D10" s="3"/>
      <c r="E10" s="8">
        <v>0.52</v>
      </c>
      <c r="G10" s="14">
        <f t="shared" si="0"/>
        <v>12.900000000000091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1370.865</v>
      </c>
      <c r="C12" s="7">
        <v>1363.2439999999999</v>
      </c>
      <c r="D12" s="2"/>
      <c r="E12" s="8">
        <v>0.56000000000000005</v>
      </c>
      <c r="G12" s="14">
        <f t="shared" si="0"/>
        <v>7.6210000000000946</v>
      </c>
    </row>
    <row r="13" spans="1:7" ht="15.5" x14ac:dyDescent="0.35">
      <c r="A13" s="6" t="s">
        <v>9</v>
      </c>
      <c r="B13" s="7">
        <v>1441.6079999999999</v>
      </c>
      <c r="C13" s="7">
        <v>1427.529</v>
      </c>
      <c r="D13" s="2"/>
      <c r="E13" s="8">
        <v>0.99</v>
      </c>
      <c r="G13" s="14">
        <f t="shared" si="0"/>
        <v>14.078999999999951</v>
      </c>
    </row>
    <row r="14" spans="1:7" ht="15.5" x14ac:dyDescent="0.35">
      <c r="A14" s="6" t="s">
        <v>10</v>
      </c>
      <c r="B14" s="7">
        <v>1465.8489999999999</v>
      </c>
      <c r="C14" s="7">
        <v>1457.2529999999999</v>
      </c>
      <c r="D14" s="2"/>
      <c r="E14" s="8">
        <v>0.59</v>
      </c>
      <c r="G14" s="14">
        <f t="shared" si="0"/>
        <v>8.5960000000000036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11941.16</v>
      </c>
      <c r="C16" s="7">
        <v>11877.37</v>
      </c>
      <c r="D16" s="3"/>
      <c r="E16" s="8">
        <v>0.54</v>
      </c>
      <c r="G16" s="14">
        <f t="shared" si="0"/>
        <v>63.789999999999054</v>
      </c>
    </row>
    <row r="17" spans="1:7" ht="15.5" x14ac:dyDescent="0.35">
      <c r="A17" s="6" t="s">
        <v>12</v>
      </c>
      <c r="B17" s="7">
        <v>6385.0420000000004</v>
      </c>
      <c r="C17" s="7">
        <v>6344.3050000000003</v>
      </c>
      <c r="D17" s="3"/>
      <c r="E17" s="8">
        <v>0.64</v>
      </c>
      <c r="G17" s="14">
        <f t="shared" si="0"/>
        <v>40.73700000000008</v>
      </c>
    </row>
    <row r="18" spans="1:7" ht="15.5" x14ac:dyDescent="0.35">
      <c r="A18" s="6" t="s">
        <v>13</v>
      </c>
      <c r="B18" s="7">
        <v>2578.5920000000001</v>
      </c>
      <c r="C18" s="7">
        <v>2539.6779999999999</v>
      </c>
      <c r="D18" s="3"/>
      <c r="E18" s="8">
        <v>1.53</v>
      </c>
      <c r="G18" s="14">
        <f t="shared" si="0"/>
        <v>38.914000000000215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1958.09</v>
      </c>
      <c r="C20" s="7">
        <v>1949.66</v>
      </c>
      <c r="D20" s="2"/>
      <c r="E20" s="8">
        <v>0.43</v>
      </c>
      <c r="G20" s="14">
        <f t="shared" si="0"/>
        <v>8.4299999999998363</v>
      </c>
    </row>
    <row r="21" spans="1:7" ht="15.5" x14ac:dyDescent="0.35">
      <c r="A21" s="6" t="s">
        <v>15</v>
      </c>
      <c r="B21" s="7">
        <v>1924.88</v>
      </c>
      <c r="C21" s="7">
        <v>1921.05</v>
      </c>
      <c r="D21" s="2"/>
      <c r="E21" s="8">
        <v>0.2</v>
      </c>
      <c r="G21" s="14">
        <f t="shared" si="0"/>
        <v>3.8300000000001546</v>
      </c>
    </row>
    <row r="22" spans="1:7" ht="31" x14ac:dyDescent="0.35">
      <c r="A22" s="6" t="s">
        <v>16</v>
      </c>
      <c r="B22" s="7">
        <v>1059.77</v>
      </c>
      <c r="C22" s="7">
        <v>1053.23</v>
      </c>
      <c r="D22" s="2"/>
      <c r="E22" s="8">
        <v>0.62</v>
      </c>
      <c r="G22" s="14">
        <f t="shared" si="0"/>
        <v>6.5399999999999636</v>
      </c>
    </row>
    <row r="23" spans="1:7" ht="15.5" x14ac:dyDescent="0.35">
      <c r="A23" s="6" t="s">
        <v>17</v>
      </c>
      <c r="B23" s="7">
        <v>1943.87</v>
      </c>
      <c r="C23" s="7">
        <v>1930.152</v>
      </c>
      <c r="D23" s="3"/>
      <c r="E23" s="8">
        <v>0.71</v>
      </c>
      <c r="G23" s="14">
        <f t="shared" si="0"/>
        <v>13.717999999999847</v>
      </c>
    </row>
    <row r="24" spans="1:7" ht="15.5" x14ac:dyDescent="0.35">
      <c r="A24" s="6" t="s">
        <v>18</v>
      </c>
      <c r="B24" s="9">
        <v>100.953</v>
      </c>
      <c r="C24" s="9">
        <v>101.02</v>
      </c>
      <c r="D24" s="3"/>
      <c r="E24" s="10">
        <v>-7.0000000000000007E-2</v>
      </c>
      <c r="G24" s="14">
        <f t="shared" si="0"/>
        <v>-6.6999999999993065E-2</v>
      </c>
    </row>
    <row r="25" spans="1:7" ht="15.5" x14ac:dyDescent="0.35">
      <c r="A25" s="6" t="s">
        <v>19</v>
      </c>
      <c r="B25" s="9">
        <v>99.664000000000001</v>
      </c>
      <c r="C25" s="9">
        <v>99.710999999999999</v>
      </c>
      <c r="D25" s="3"/>
      <c r="E25" s="10">
        <v>-0.05</v>
      </c>
      <c r="G25" s="14">
        <f t="shared" si="0"/>
        <v>-4.6999999999997044E-2</v>
      </c>
    </row>
    <row r="26" spans="1:7" ht="15.5" x14ac:dyDescent="0.35">
      <c r="A26" s="6" t="s">
        <v>20</v>
      </c>
      <c r="B26" s="9">
        <v>99.796999999999997</v>
      </c>
      <c r="C26" s="9">
        <v>99.813000000000002</v>
      </c>
      <c r="D26" s="3"/>
      <c r="E26" s="10">
        <v>-0.02</v>
      </c>
      <c r="G26" s="14">
        <f t="shared" si="0"/>
        <v>-1.6000000000005343E-2</v>
      </c>
    </row>
    <row r="27" spans="1:7" x14ac:dyDescent="0.35">
      <c r="A27" s="11" t="s">
        <v>21</v>
      </c>
      <c r="B27" s="9">
        <v>1.08</v>
      </c>
      <c r="C27" s="9">
        <v>1.0349999999999999</v>
      </c>
      <c r="D27" s="3"/>
      <c r="E27" s="8">
        <v>4.3499999999999996</v>
      </c>
      <c r="G27" s="14">
        <f t="shared" si="0"/>
        <v>4.5000000000000151E-2</v>
      </c>
    </row>
    <row r="28" spans="1:7" x14ac:dyDescent="0.35">
      <c r="A28" s="11" t="s">
        <v>22</v>
      </c>
      <c r="B28" s="9">
        <v>1.085</v>
      </c>
      <c r="C28" s="9">
        <v>1.085</v>
      </c>
      <c r="D28" s="3"/>
      <c r="E28" s="8">
        <v>0</v>
      </c>
      <c r="G28" s="14">
        <f t="shared" si="0"/>
        <v>0</v>
      </c>
    </row>
    <row r="29" spans="1:7" ht="15.5" x14ac:dyDescent="0.35">
      <c r="A29" s="6" t="s">
        <v>23</v>
      </c>
      <c r="B29" s="9">
        <v>103.09399999999999</v>
      </c>
      <c r="C29" s="9">
        <v>103.07</v>
      </c>
      <c r="D29" s="3"/>
      <c r="E29" s="8">
        <v>0.02</v>
      </c>
      <c r="G29" s="14">
        <f t="shared" si="0"/>
        <v>2.4000000000000909E-2</v>
      </c>
    </row>
    <row r="30" spans="1:7" ht="15.5" x14ac:dyDescent="0.35">
      <c r="A30" s="6" t="s">
        <v>24</v>
      </c>
      <c r="B30" s="7">
        <v>15244.71</v>
      </c>
      <c r="C30" s="7">
        <v>15149.57</v>
      </c>
      <c r="D30" s="3"/>
      <c r="E30" s="8">
        <v>0.63</v>
      </c>
      <c r="G30" s="14">
        <f t="shared" si="0"/>
        <v>95.139999999999418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1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42936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9560.39</v>
      </c>
      <c r="C3" s="24">
        <v>9618.9699999999993</v>
      </c>
      <c r="D3" s="25"/>
      <c r="E3" s="26">
        <f>G3/B3</f>
        <v>-6.1273650970305529E-3</v>
      </c>
      <c r="G3" s="14">
        <f>B3-C3</f>
        <v>-58.579999999999927</v>
      </c>
    </row>
    <row r="4" spans="1:7" ht="15.5" x14ac:dyDescent="0.35">
      <c r="A4" s="23" t="s">
        <v>26</v>
      </c>
      <c r="B4" s="24">
        <v>2700.6</v>
      </c>
      <c r="C4" s="24">
        <v>2702.13</v>
      </c>
      <c r="D4" s="25"/>
      <c r="E4" s="26">
        <f>G4/B4</f>
        <v>-5.6654076871813681E-4</v>
      </c>
      <c r="G4" s="14">
        <f>B4-C4</f>
        <v>-1.5300000000002001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21611.78</v>
      </c>
      <c r="C7" s="7">
        <v>21640.75</v>
      </c>
      <c r="D7" s="3"/>
      <c r="E7" s="10">
        <v>-0.13</v>
      </c>
      <c r="G7" s="14">
        <f>B7-C7</f>
        <v>-28.970000000001164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1778.63</v>
      </c>
      <c r="C9" s="7">
        <v>1780.41</v>
      </c>
      <c r="D9" s="3"/>
      <c r="E9" s="10">
        <v>-0.1</v>
      </c>
      <c r="G9" s="14">
        <f t="shared" ref="G9:G30" si="0">B9-C9</f>
        <v>-1.7799999999999727</v>
      </c>
    </row>
    <row r="10" spans="1:7" ht="15.5" x14ac:dyDescent="0.35">
      <c r="A10" s="6" t="s">
        <v>7</v>
      </c>
      <c r="B10" s="7">
        <v>2473.91</v>
      </c>
      <c r="C10" s="7">
        <v>2473.58</v>
      </c>
      <c r="D10" s="3"/>
      <c r="E10" s="8">
        <v>0.01</v>
      </c>
      <c r="G10" s="14">
        <f t="shared" si="0"/>
        <v>0.32999999999992724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1370.9490000000001</v>
      </c>
      <c r="C12" s="7">
        <v>1370.865</v>
      </c>
      <c r="D12" s="2"/>
      <c r="E12" s="8">
        <v>0.01</v>
      </c>
      <c r="G12" s="14">
        <f t="shared" si="0"/>
        <v>8.4000000000060027E-2</v>
      </c>
    </row>
    <row r="13" spans="1:7" ht="15.5" x14ac:dyDescent="0.35">
      <c r="A13" s="6" t="s">
        <v>9</v>
      </c>
      <c r="B13" s="7">
        <v>1442.3240000000001</v>
      </c>
      <c r="C13" s="7">
        <v>1441.6079999999999</v>
      </c>
      <c r="D13" s="2"/>
      <c r="E13" s="8">
        <v>0.05</v>
      </c>
      <c r="G13" s="14">
        <f t="shared" si="0"/>
        <v>0.71600000000012187</v>
      </c>
    </row>
    <row r="14" spans="1:7" ht="15.5" x14ac:dyDescent="0.35">
      <c r="A14" s="6" t="s">
        <v>10</v>
      </c>
      <c r="B14" s="7">
        <v>1466.0150000000001</v>
      </c>
      <c r="C14" s="7">
        <v>1465.8489999999999</v>
      </c>
      <c r="D14" s="2"/>
      <c r="E14" s="8">
        <v>0.01</v>
      </c>
      <c r="G14" s="14">
        <f t="shared" si="0"/>
        <v>0.16600000000016735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11945.25</v>
      </c>
      <c r="C16" s="7">
        <v>11941.16</v>
      </c>
      <c r="D16" s="3"/>
      <c r="E16" s="8">
        <v>0.03</v>
      </c>
      <c r="G16" s="14">
        <f t="shared" si="0"/>
        <v>4.0900000000001455</v>
      </c>
    </row>
    <row r="17" spans="1:7" ht="15.5" x14ac:dyDescent="0.35">
      <c r="A17" s="6" t="s">
        <v>12</v>
      </c>
      <c r="B17" s="7">
        <v>6390.0020000000004</v>
      </c>
      <c r="C17" s="7">
        <v>6385.0420000000004</v>
      </c>
      <c r="D17" s="3"/>
      <c r="E17" s="8">
        <v>0.08</v>
      </c>
      <c r="G17" s="14">
        <f t="shared" si="0"/>
        <v>4.9600000000000364</v>
      </c>
    </row>
    <row r="18" spans="1:7" ht="15.5" x14ac:dyDescent="0.35">
      <c r="A18" s="6" t="s">
        <v>13</v>
      </c>
      <c r="B18" s="7">
        <v>2585.8690000000001</v>
      </c>
      <c r="C18" s="7">
        <v>2578.5920000000001</v>
      </c>
      <c r="D18" s="3"/>
      <c r="E18" s="8">
        <v>0.28000000000000003</v>
      </c>
      <c r="G18" s="14">
        <f t="shared" si="0"/>
        <v>7.2770000000000437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1963.31</v>
      </c>
      <c r="C20" s="7">
        <v>1958.09</v>
      </c>
      <c r="D20" s="2"/>
      <c r="E20" s="8">
        <v>0.27</v>
      </c>
      <c r="G20" s="14">
        <f t="shared" si="0"/>
        <v>5.2200000000000273</v>
      </c>
    </row>
    <row r="21" spans="1:7" ht="15.5" x14ac:dyDescent="0.35">
      <c r="A21" s="6" t="s">
        <v>15</v>
      </c>
      <c r="B21" s="7">
        <v>1937.82</v>
      </c>
      <c r="C21" s="7">
        <v>1924.88</v>
      </c>
      <c r="D21" s="2"/>
      <c r="E21" s="8">
        <v>0.67</v>
      </c>
      <c r="G21" s="14">
        <f t="shared" si="0"/>
        <v>12.939999999999827</v>
      </c>
    </row>
    <row r="22" spans="1:7" ht="31" x14ac:dyDescent="0.35">
      <c r="A22" s="6" t="s">
        <v>16</v>
      </c>
      <c r="B22" s="7">
        <v>1059.4000000000001</v>
      </c>
      <c r="C22" s="7">
        <v>1059.77</v>
      </c>
      <c r="D22" s="2"/>
      <c r="E22" s="10">
        <v>-0.03</v>
      </c>
      <c r="G22" s="14">
        <f t="shared" si="0"/>
        <v>-0.36999999999989086</v>
      </c>
    </row>
    <row r="23" spans="1:7" ht="15.5" x14ac:dyDescent="0.35">
      <c r="A23" s="6" t="s">
        <v>17</v>
      </c>
      <c r="B23" s="7">
        <v>1941.55</v>
      </c>
      <c r="C23" s="7">
        <v>1943.8689999999999</v>
      </c>
      <c r="D23" s="3"/>
      <c r="E23" s="10">
        <v>-0.12</v>
      </c>
      <c r="G23" s="14">
        <f t="shared" si="0"/>
        <v>-2.31899999999996</v>
      </c>
    </row>
    <row r="24" spans="1:7" ht="15.5" x14ac:dyDescent="0.35">
      <c r="A24" s="6" t="s">
        <v>18</v>
      </c>
      <c r="B24" s="9">
        <v>101</v>
      </c>
      <c r="C24" s="9">
        <v>100.953</v>
      </c>
      <c r="D24" s="3"/>
      <c r="E24" s="8">
        <v>0.05</v>
      </c>
      <c r="G24" s="14">
        <f t="shared" si="0"/>
        <v>4.6999999999997044E-2</v>
      </c>
    </row>
    <row r="25" spans="1:7" ht="15.5" x14ac:dyDescent="0.35">
      <c r="A25" s="6" t="s">
        <v>19</v>
      </c>
      <c r="B25" s="9">
        <v>99.68</v>
      </c>
      <c r="C25" s="9">
        <v>99.664000000000001</v>
      </c>
      <c r="D25" s="3"/>
      <c r="E25" s="8">
        <v>0.02</v>
      </c>
      <c r="G25" s="14">
        <f t="shared" si="0"/>
        <v>1.6000000000005343E-2</v>
      </c>
    </row>
    <row r="26" spans="1:7" ht="15.5" x14ac:dyDescent="0.35">
      <c r="A26" s="6" t="s">
        <v>20</v>
      </c>
      <c r="B26" s="9">
        <v>99.805000000000007</v>
      </c>
      <c r="C26" s="9">
        <v>99.796999999999997</v>
      </c>
      <c r="D26" s="3"/>
      <c r="E26" s="8">
        <v>0.01</v>
      </c>
      <c r="G26" s="14">
        <f t="shared" si="0"/>
        <v>8.0000000000097771E-3</v>
      </c>
    </row>
    <row r="27" spans="1:7" x14ac:dyDescent="0.35">
      <c r="A27" s="11" t="s">
        <v>21</v>
      </c>
      <c r="B27" s="9">
        <v>1.115</v>
      </c>
      <c r="C27" s="9">
        <v>1.08</v>
      </c>
      <c r="D27" s="3"/>
      <c r="E27" s="8">
        <v>3.24</v>
      </c>
      <c r="G27" s="14">
        <f t="shared" si="0"/>
        <v>3.499999999999992E-2</v>
      </c>
    </row>
    <row r="28" spans="1:7" x14ac:dyDescent="0.35">
      <c r="A28" s="11" t="s">
        <v>22</v>
      </c>
      <c r="B28" s="9">
        <v>1.085</v>
      </c>
      <c r="C28" s="9">
        <v>1.085</v>
      </c>
      <c r="D28" s="3"/>
      <c r="E28" s="8">
        <v>0</v>
      </c>
      <c r="G28" s="14">
        <f t="shared" si="0"/>
        <v>0</v>
      </c>
    </row>
    <row r="29" spans="1:7" ht="15.5" x14ac:dyDescent="0.35">
      <c r="A29" s="6" t="s">
        <v>23</v>
      </c>
      <c r="B29" s="9">
        <v>103.40600000000001</v>
      </c>
      <c r="C29" s="9">
        <v>103.09399999999999</v>
      </c>
      <c r="D29" s="3"/>
      <c r="E29" s="8">
        <v>0.3</v>
      </c>
      <c r="G29" s="14">
        <f t="shared" si="0"/>
        <v>0.31200000000001182</v>
      </c>
    </row>
    <row r="30" spans="1:7" ht="15.5" x14ac:dyDescent="0.35">
      <c r="A30" s="6" t="s">
        <v>24</v>
      </c>
      <c r="B30" s="7">
        <v>15264.64</v>
      </c>
      <c r="C30" s="7">
        <v>15244.71</v>
      </c>
      <c r="D30" s="3"/>
      <c r="E30" s="8">
        <v>0.13</v>
      </c>
      <c r="G30" s="14">
        <f t="shared" si="0"/>
        <v>19.930000000000291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2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42937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9560.39</v>
      </c>
      <c r="C3" s="24">
        <v>9560.39</v>
      </c>
      <c r="D3" s="25"/>
      <c r="E3" s="26">
        <f>G3/B3</f>
        <v>0</v>
      </c>
      <c r="G3" s="14">
        <f>B3-C3</f>
        <v>0</v>
      </c>
    </row>
    <row r="4" spans="1:7" ht="15.5" x14ac:dyDescent="0.35">
      <c r="A4" s="23" t="s">
        <v>26</v>
      </c>
      <c r="B4" s="24">
        <v>2700.6</v>
      </c>
      <c r="C4" s="24">
        <v>2700.6</v>
      </c>
      <c r="D4" s="25"/>
      <c r="E4" s="26">
        <f>G4/B4</f>
        <v>0</v>
      </c>
      <c r="G4" s="14">
        <f>B4-C4</f>
        <v>0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21580.07</v>
      </c>
      <c r="C7" s="7">
        <v>21611.78</v>
      </c>
      <c r="D7" s="3"/>
      <c r="E7" s="10">
        <v>-0.15</v>
      </c>
      <c r="G7" s="14">
        <f>B7-C7</f>
        <v>-31.709999999999127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1773.92</v>
      </c>
      <c r="C9" s="7">
        <v>1778.63</v>
      </c>
      <c r="D9" s="3"/>
      <c r="E9" s="10">
        <v>-0.26</v>
      </c>
      <c r="G9" s="14">
        <f t="shared" ref="G9:G30" si="0">B9-C9</f>
        <v>-4.7100000000000364</v>
      </c>
    </row>
    <row r="10" spans="1:7" ht="15.5" x14ac:dyDescent="0.35">
      <c r="A10" s="6" t="s">
        <v>7</v>
      </c>
      <c r="B10" s="7">
        <v>2472.41</v>
      </c>
      <c r="C10" s="7">
        <v>2473.91</v>
      </c>
      <c r="D10" s="3"/>
      <c r="E10" s="10">
        <v>-0.06</v>
      </c>
      <c r="G10" s="14">
        <f t="shared" si="0"/>
        <v>-1.5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1370.047</v>
      </c>
      <c r="C12" s="7">
        <v>1370.9490000000001</v>
      </c>
      <c r="D12" s="2"/>
      <c r="E12" s="10">
        <v>-7.0000000000000007E-2</v>
      </c>
      <c r="G12" s="14">
        <f t="shared" si="0"/>
        <v>-0.90200000000004366</v>
      </c>
    </row>
    <row r="13" spans="1:7" ht="15.5" x14ac:dyDescent="0.35">
      <c r="A13" s="6" t="s">
        <v>9</v>
      </c>
      <c r="B13" s="7">
        <v>1435.7619999999999</v>
      </c>
      <c r="C13" s="7">
        <v>1442.3240000000001</v>
      </c>
      <c r="D13" s="2"/>
      <c r="E13" s="10">
        <v>-0.45</v>
      </c>
      <c r="G13" s="14">
        <f t="shared" si="0"/>
        <v>-6.5620000000001255</v>
      </c>
    </row>
    <row r="14" spans="1:7" ht="15.5" x14ac:dyDescent="0.35">
      <c r="A14" s="6" t="s">
        <v>10</v>
      </c>
      <c r="B14" s="7">
        <v>1464.626</v>
      </c>
      <c r="C14" s="7">
        <v>1466.0150000000001</v>
      </c>
      <c r="D14" s="2"/>
      <c r="E14" s="10">
        <v>-0.09</v>
      </c>
      <c r="G14" s="14">
        <f t="shared" si="0"/>
        <v>-1.3890000000001237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11924.35</v>
      </c>
      <c r="C16" s="7">
        <v>11945.25</v>
      </c>
      <c r="D16" s="3"/>
      <c r="E16" s="10">
        <v>-0.17</v>
      </c>
      <c r="G16" s="14">
        <f t="shared" si="0"/>
        <v>-20.899999999999636</v>
      </c>
    </row>
    <row r="17" spans="1:7" ht="15.5" x14ac:dyDescent="0.35">
      <c r="A17" s="6" t="s">
        <v>12</v>
      </c>
      <c r="B17" s="7">
        <v>6387.7539999999999</v>
      </c>
      <c r="C17" s="7">
        <v>6390.0020000000004</v>
      </c>
      <c r="D17" s="3"/>
      <c r="E17" s="10">
        <v>-0.04</v>
      </c>
      <c r="G17" s="14">
        <f t="shared" si="0"/>
        <v>-2.248000000000502</v>
      </c>
    </row>
    <row r="18" spans="1:7" ht="15.5" x14ac:dyDescent="0.35">
      <c r="A18" s="6" t="s">
        <v>13</v>
      </c>
      <c r="B18" s="7">
        <v>2613.6680000000001</v>
      </c>
      <c r="C18" s="7">
        <v>2585.8690000000001</v>
      </c>
      <c r="D18" s="3"/>
      <c r="E18" s="8">
        <v>1.08</v>
      </c>
      <c r="G18" s="14">
        <f t="shared" si="0"/>
        <v>27.798999999999978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1958.77</v>
      </c>
      <c r="C20" s="7">
        <v>1963.31</v>
      </c>
      <c r="D20" s="2"/>
      <c r="E20" s="10">
        <v>-0.23</v>
      </c>
      <c r="G20" s="14">
        <f t="shared" si="0"/>
        <v>-4.5399999999999636</v>
      </c>
    </row>
    <row r="21" spans="1:7" ht="15.5" x14ac:dyDescent="0.35">
      <c r="A21" s="6" t="s">
        <v>15</v>
      </c>
      <c r="B21" s="7">
        <v>1927.65</v>
      </c>
      <c r="C21" s="7">
        <v>1937.82</v>
      </c>
      <c r="D21" s="2"/>
      <c r="E21" s="10">
        <v>-0.52</v>
      </c>
      <c r="G21" s="14">
        <f t="shared" si="0"/>
        <v>-10.169999999999845</v>
      </c>
    </row>
    <row r="22" spans="1:7" ht="31" x14ac:dyDescent="0.35">
      <c r="A22" s="6" t="s">
        <v>16</v>
      </c>
      <c r="B22" s="7">
        <v>1060.18</v>
      </c>
      <c r="C22" s="7">
        <v>1059.4000000000001</v>
      </c>
      <c r="D22" s="2"/>
      <c r="E22" s="8">
        <v>7.0000000000000007E-2</v>
      </c>
      <c r="G22" s="14">
        <f t="shared" si="0"/>
        <v>0.77999999999997272</v>
      </c>
    </row>
    <row r="23" spans="1:7" ht="15.5" x14ac:dyDescent="0.35">
      <c r="A23" s="6" t="s">
        <v>17</v>
      </c>
      <c r="B23" s="7">
        <v>1941.67</v>
      </c>
      <c r="C23" s="7">
        <v>1941.5530000000001</v>
      </c>
      <c r="D23" s="3"/>
      <c r="E23" s="8">
        <v>0.01</v>
      </c>
      <c r="G23" s="14">
        <f t="shared" si="0"/>
        <v>0.1169999999999618</v>
      </c>
    </row>
    <row r="24" spans="1:7" ht="15.5" x14ac:dyDescent="0.35">
      <c r="A24" s="6" t="s">
        <v>18</v>
      </c>
      <c r="B24" s="9">
        <v>101.21899999999999</v>
      </c>
      <c r="C24" s="9">
        <v>101</v>
      </c>
      <c r="D24" s="3"/>
      <c r="E24" s="8">
        <v>0.22</v>
      </c>
      <c r="G24" s="14">
        <f t="shared" si="0"/>
        <v>0.21899999999999409</v>
      </c>
    </row>
    <row r="25" spans="1:7" ht="15.5" x14ac:dyDescent="0.35">
      <c r="A25" s="6" t="s">
        <v>19</v>
      </c>
      <c r="B25" s="9">
        <v>99.766000000000005</v>
      </c>
      <c r="C25" s="9">
        <v>99.68</v>
      </c>
      <c r="D25" s="3"/>
      <c r="E25" s="8">
        <v>0.09</v>
      </c>
      <c r="G25" s="14">
        <f t="shared" si="0"/>
        <v>8.5999999999998522E-2</v>
      </c>
    </row>
    <row r="26" spans="1:7" ht="15.5" x14ac:dyDescent="0.35">
      <c r="A26" s="6" t="s">
        <v>20</v>
      </c>
      <c r="B26" s="9">
        <v>99.828000000000003</v>
      </c>
      <c r="C26" s="9">
        <v>99.805000000000007</v>
      </c>
      <c r="D26" s="3"/>
      <c r="E26" s="8">
        <v>0.02</v>
      </c>
      <c r="G26" s="14">
        <f t="shared" si="0"/>
        <v>2.2999999999996135E-2</v>
      </c>
    </row>
    <row r="27" spans="1:7" x14ac:dyDescent="0.35">
      <c r="A27" s="11" t="s">
        <v>21</v>
      </c>
      <c r="B27" s="9">
        <v>1.1399999999999999</v>
      </c>
      <c r="C27" s="9">
        <v>1.115</v>
      </c>
      <c r="D27" s="3"/>
      <c r="E27" s="8">
        <v>2.2400000000000002</v>
      </c>
      <c r="G27" s="14">
        <f t="shared" si="0"/>
        <v>2.4999999999999911E-2</v>
      </c>
    </row>
    <row r="28" spans="1:7" x14ac:dyDescent="0.35">
      <c r="A28" s="11" t="s">
        <v>22</v>
      </c>
      <c r="B28" s="9">
        <v>1.08</v>
      </c>
      <c r="C28" s="9">
        <v>1.085</v>
      </c>
      <c r="D28" s="3"/>
      <c r="E28" s="10">
        <v>-0.46</v>
      </c>
      <c r="G28" s="14">
        <f t="shared" si="0"/>
        <v>-4.9999999999998934E-3</v>
      </c>
    </row>
    <row r="29" spans="1:7" ht="15.5" x14ac:dyDescent="0.35">
      <c r="A29" s="6" t="s">
        <v>23</v>
      </c>
      <c r="B29" s="9">
        <v>103.875</v>
      </c>
      <c r="C29" s="9">
        <v>103.40600000000001</v>
      </c>
      <c r="D29" s="3"/>
      <c r="E29" s="8">
        <v>0.45</v>
      </c>
      <c r="G29" s="14">
        <f t="shared" si="0"/>
        <v>0.46899999999999409</v>
      </c>
    </row>
    <row r="30" spans="1:7" ht="15.5" x14ac:dyDescent="0.35">
      <c r="A30" s="6" t="s">
        <v>24</v>
      </c>
      <c r="B30" s="7">
        <v>15183.13</v>
      </c>
      <c r="C30" s="7">
        <v>15264.64</v>
      </c>
      <c r="D30" s="3"/>
      <c r="E30" s="10">
        <v>-0.53</v>
      </c>
      <c r="G30" s="14">
        <f t="shared" si="0"/>
        <v>-81.510000000000218</v>
      </c>
    </row>
  </sheetData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3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42940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9536.7199999999993</v>
      </c>
      <c r="C3" s="24">
        <v>9554.7900000000009</v>
      </c>
      <c r="D3" s="25"/>
      <c r="E3" s="26">
        <f>G3/B3</f>
        <v>-1.89478143428784E-3</v>
      </c>
      <c r="G3" s="14">
        <f>B3-C3</f>
        <v>-18.070000000001528</v>
      </c>
    </row>
    <row r="4" spans="1:7" ht="15.5" x14ac:dyDescent="0.35">
      <c r="A4" s="23" t="s">
        <v>26</v>
      </c>
      <c r="B4" s="24">
        <v>2700.18</v>
      </c>
      <c r="C4" s="24">
        <v>2699.44</v>
      </c>
      <c r="D4" s="25"/>
      <c r="E4" s="26">
        <f>G4/B4</f>
        <v>2.740558036870808E-4</v>
      </c>
      <c r="G4" s="14">
        <f>B4-C4</f>
        <v>0.73999999999978172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21513.17</v>
      </c>
      <c r="C7" s="7">
        <v>21580.07</v>
      </c>
      <c r="D7" s="3"/>
      <c r="E7" s="10">
        <v>-0.31</v>
      </c>
      <c r="G7" s="14">
        <f>B7-C7</f>
        <v>-66.900000000001455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1776.82</v>
      </c>
      <c r="C9" s="7">
        <v>1773.92</v>
      </c>
      <c r="D9" s="3"/>
      <c r="E9" s="8">
        <v>0.16</v>
      </c>
      <c r="G9" s="14">
        <f t="shared" ref="G9:G30" si="0">B9-C9</f>
        <v>2.8999999999998636</v>
      </c>
    </row>
    <row r="10" spans="1:7" ht="15.5" x14ac:dyDescent="0.35">
      <c r="A10" s="6" t="s">
        <v>7</v>
      </c>
      <c r="B10" s="7">
        <v>2470.71</v>
      </c>
      <c r="C10" s="7">
        <v>2472.41</v>
      </c>
      <c r="D10" s="3"/>
      <c r="E10" s="10">
        <v>-7.0000000000000007E-2</v>
      </c>
      <c r="G10" s="14">
        <f t="shared" si="0"/>
        <v>-1.6999999999998181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1369.6849999999999</v>
      </c>
      <c r="C12" s="7">
        <v>1370.047</v>
      </c>
      <c r="D12" s="2"/>
      <c r="E12" s="10">
        <v>-0.03</v>
      </c>
      <c r="G12" s="14">
        <f t="shared" si="0"/>
        <v>-0.36200000000008004</v>
      </c>
    </row>
    <row r="13" spans="1:7" ht="15.5" x14ac:dyDescent="0.35">
      <c r="A13" s="6" t="s">
        <v>9</v>
      </c>
      <c r="B13" s="7">
        <v>1438.0550000000001</v>
      </c>
      <c r="C13" s="7">
        <v>1435.7619999999999</v>
      </c>
      <c r="D13" s="2"/>
      <c r="E13" s="8">
        <v>0.16</v>
      </c>
      <c r="G13" s="14">
        <f t="shared" si="0"/>
        <v>2.2930000000001201</v>
      </c>
    </row>
    <row r="14" spans="1:7" ht="15.5" x14ac:dyDescent="0.35">
      <c r="A14" s="6" t="s">
        <v>10</v>
      </c>
      <c r="B14" s="7">
        <v>1464.4670000000001</v>
      </c>
      <c r="C14" s="7">
        <v>1464.626</v>
      </c>
      <c r="D14" s="2"/>
      <c r="E14" s="10">
        <v>-0.01</v>
      </c>
      <c r="G14" s="14">
        <f t="shared" si="0"/>
        <v>-0.15899999999987813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11905.92</v>
      </c>
      <c r="C16" s="7">
        <v>11924.35</v>
      </c>
      <c r="D16" s="3"/>
      <c r="E16" s="10">
        <v>-0.15</v>
      </c>
      <c r="G16" s="14">
        <f t="shared" si="0"/>
        <v>-18.430000000000291</v>
      </c>
    </row>
    <row r="17" spans="1:7" ht="15.5" x14ac:dyDescent="0.35">
      <c r="A17" s="6" t="s">
        <v>12</v>
      </c>
      <c r="B17" s="7">
        <v>6410.808</v>
      </c>
      <c r="C17" s="7">
        <v>6387.7539999999999</v>
      </c>
      <c r="D17" s="3"/>
      <c r="E17" s="8">
        <v>0.36</v>
      </c>
      <c r="G17" s="14">
        <f t="shared" si="0"/>
        <v>23.054000000000087</v>
      </c>
    </row>
    <row r="18" spans="1:7" ht="15.5" x14ac:dyDescent="0.35">
      <c r="A18" s="6" t="s">
        <v>13</v>
      </c>
      <c r="B18" s="7">
        <v>2564.1959999999999</v>
      </c>
      <c r="C18" s="7">
        <v>2613.6680000000001</v>
      </c>
      <c r="D18" s="3"/>
      <c r="E18" s="10">
        <v>-1.89</v>
      </c>
      <c r="G18" s="14">
        <f t="shared" si="0"/>
        <v>-49.472000000000207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1954.84</v>
      </c>
      <c r="C20" s="7">
        <v>1958.77</v>
      </c>
      <c r="D20" s="2"/>
      <c r="E20" s="10">
        <v>-0.2</v>
      </c>
      <c r="G20" s="14">
        <f t="shared" si="0"/>
        <v>-3.9300000000000637</v>
      </c>
    </row>
    <row r="21" spans="1:7" ht="15.5" x14ac:dyDescent="0.35">
      <c r="A21" s="6" t="s">
        <v>15</v>
      </c>
      <c r="B21" s="7">
        <v>1919.96</v>
      </c>
      <c r="C21" s="7">
        <v>1927.65</v>
      </c>
      <c r="D21" s="2"/>
      <c r="E21" s="10">
        <v>-0.4</v>
      </c>
      <c r="G21" s="14">
        <f t="shared" si="0"/>
        <v>-7.6900000000000546</v>
      </c>
    </row>
    <row r="22" spans="1:7" ht="31" x14ac:dyDescent="0.35">
      <c r="A22" s="6" t="s">
        <v>16</v>
      </c>
      <c r="B22" s="7">
        <v>1064.27</v>
      </c>
      <c r="C22" s="7">
        <v>1060.18</v>
      </c>
      <c r="D22" s="2"/>
      <c r="E22" s="8">
        <v>0.39</v>
      </c>
      <c r="G22" s="14">
        <f t="shared" si="0"/>
        <v>4.0899999999999181</v>
      </c>
    </row>
    <row r="23" spans="1:7" ht="15.5" x14ac:dyDescent="0.35">
      <c r="A23" s="6" t="s">
        <v>17</v>
      </c>
      <c r="B23" s="7">
        <v>1941.99</v>
      </c>
      <c r="C23" s="7">
        <v>1941.671</v>
      </c>
      <c r="D23" s="3"/>
      <c r="E23" s="8">
        <v>0.02</v>
      </c>
      <c r="G23" s="14">
        <f t="shared" si="0"/>
        <v>0.31899999999995998</v>
      </c>
    </row>
    <row r="24" spans="1:7" ht="15.5" x14ac:dyDescent="0.35">
      <c r="A24" s="6" t="s">
        <v>18</v>
      </c>
      <c r="B24" s="9">
        <v>101.047</v>
      </c>
      <c r="C24" s="9">
        <v>101.21899999999999</v>
      </c>
      <c r="D24" s="3"/>
      <c r="E24" s="10">
        <v>-0.17</v>
      </c>
      <c r="G24" s="14">
        <f t="shared" si="0"/>
        <v>-0.17199999999999704</v>
      </c>
    </row>
    <row r="25" spans="1:7" ht="15.5" x14ac:dyDescent="0.35">
      <c r="A25" s="6" t="s">
        <v>19</v>
      </c>
      <c r="B25" s="9">
        <v>99.664000000000001</v>
      </c>
      <c r="C25" s="9">
        <v>99.766000000000005</v>
      </c>
      <c r="D25" s="3"/>
      <c r="E25" s="10">
        <v>-0.1</v>
      </c>
      <c r="G25" s="14">
        <f t="shared" si="0"/>
        <v>-0.10200000000000387</v>
      </c>
    </row>
    <row r="26" spans="1:7" ht="15.5" x14ac:dyDescent="0.35">
      <c r="A26" s="6" t="s">
        <v>20</v>
      </c>
      <c r="B26" s="9">
        <v>99.789000000000001</v>
      </c>
      <c r="C26" s="9">
        <v>99.828000000000003</v>
      </c>
      <c r="D26" s="3"/>
      <c r="E26" s="10">
        <v>-0.04</v>
      </c>
      <c r="G26" s="14">
        <f t="shared" si="0"/>
        <v>-3.9000000000001478E-2</v>
      </c>
    </row>
    <row r="27" spans="1:7" x14ac:dyDescent="0.35">
      <c r="A27" s="11" t="s">
        <v>21</v>
      </c>
      <c r="B27" s="9">
        <v>1.155</v>
      </c>
      <c r="C27" s="9">
        <v>1.1399999999999999</v>
      </c>
      <c r="D27" s="3"/>
      <c r="E27" s="8">
        <v>1.32</v>
      </c>
      <c r="G27" s="14">
        <f t="shared" si="0"/>
        <v>1.5000000000000124E-2</v>
      </c>
    </row>
    <row r="28" spans="1:7" x14ac:dyDescent="0.35">
      <c r="A28" s="11" t="s">
        <v>22</v>
      </c>
      <c r="B28" s="9">
        <v>1.1000000000000001</v>
      </c>
      <c r="C28" s="9">
        <v>1.08</v>
      </c>
      <c r="D28" s="3"/>
      <c r="E28" s="8">
        <v>1.85</v>
      </c>
      <c r="G28" s="14">
        <f t="shared" si="0"/>
        <v>2.0000000000000018E-2</v>
      </c>
    </row>
    <row r="29" spans="1:7" ht="15.5" x14ac:dyDescent="0.35">
      <c r="A29" s="6" t="s">
        <v>23</v>
      </c>
      <c r="B29" s="9">
        <v>103.313</v>
      </c>
      <c r="C29" s="9">
        <v>103.875</v>
      </c>
      <c r="D29" s="3"/>
      <c r="E29" s="10">
        <v>-0.54</v>
      </c>
      <c r="G29" s="14">
        <f t="shared" si="0"/>
        <v>-0.56199999999999761</v>
      </c>
    </row>
    <row r="30" spans="1:7" ht="15.5" x14ac:dyDescent="0.35">
      <c r="A30" s="6" t="s">
        <v>24</v>
      </c>
      <c r="B30" s="7">
        <v>15128.69</v>
      </c>
      <c r="C30" s="7">
        <v>15183.13</v>
      </c>
      <c r="D30" s="3"/>
      <c r="E30" s="10">
        <v>-0.36</v>
      </c>
      <c r="G30" s="14">
        <f t="shared" si="0"/>
        <v>-54.43999999999869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4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42941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9555.18</v>
      </c>
      <c r="C3" s="24">
        <v>9536.7199999999993</v>
      </c>
      <c r="D3" s="25"/>
      <c r="E3" s="26">
        <f>G3/B3</f>
        <v>1.9319363947095654E-3</v>
      </c>
      <c r="G3" s="14">
        <f>B3-C3</f>
        <v>18.460000000000946</v>
      </c>
    </row>
    <row r="4" spans="1:7" ht="15.5" x14ac:dyDescent="0.35">
      <c r="A4" s="23" t="s">
        <v>26</v>
      </c>
      <c r="B4" s="24">
        <v>2701.53</v>
      </c>
      <c r="C4" s="24">
        <v>2700.18</v>
      </c>
      <c r="D4" s="25"/>
      <c r="E4" s="26">
        <f>G4/B4</f>
        <v>4.9971682713142692E-4</v>
      </c>
      <c r="G4" s="14">
        <f>B4-C4</f>
        <v>1.3500000000003638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21613.43</v>
      </c>
      <c r="C7" s="7">
        <v>21513.17</v>
      </c>
      <c r="D7" s="3"/>
      <c r="E7" s="8">
        <v>0.47</v>
      </c>
      <c r="G7" s="14">
        <f>B7-C7</f>
        <v>100.26000000000204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1791.99</v>
      </c>
      <c r="C9" s="7">
        <v>1776.82</v>
      </c>
      <c r="D9" s="3"/>
      <c r="E9" s="8">
        <v>0.85</v>
      </c>
      <c r="G9" s="14">
        <f t="shared" ref="G9:G30" si="0">B9-C9</f>
        <v>15.170000000000073</v>
      </c>
    </row>
    <row r="10" spans="1:7" ht="15.5" x14ac:dyDescent="0.35">
      <c r="A10" s="6" t="s">
        <v>7</v>
      </c>
      <c r="B10" s="7">
        <v>2477.1799999999998</v>
      </c>
      <c r="C10" s="7">
        <v>2470.71</v>
      </c>
      <c r="D10" s="3"/>
      <c r="E10" s="8">
        <v>0.26</v>
      </c>
      <c r="G10" s="14">
        <f t="shared" si="0"/>
        <v>6.4699999999997999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1373.588</v>
      </c>
      <c r="C12" s="7">
        <v>1369.6849999999999</v>
      </c>
      <c r="D12" s="2"/>
      <c r="E12" s="8">
        <v>0.28000000000000003</v>
      </c>
      <c r="G12" s="14">
        <f t="shared" si="0"/>
        <v>3.90300000000002</v>
      </c>
    </row>
    <row r="13" spans="1:7" ht="15.5" x14ac:dyDescent="0.35">
      <c r="A13" s="6" t="s">
        <v>9</v>
      </c>
      <c r="B13" s="7">
        <v>1450.4639999999999</v>
      </c>
      <c r="C13" s="7">
        <v>1438.0550000000001</v>
      </c>
      <c r="D13" s="2"/>
      <c r="E13" s="8">
        <v>0.86</v>
      </c>
      <c r="G13" s="14">
        <f t="shared" si="0"/>
        <v>12.408999999999878</v>
      </c>
    </row>
    <row r="14" spans="1:7" ht="15.5" x14ac:dyDescent="0.35">
      <c r="A14" s="6" t="s">
        <v>10</v>
      </c>
      <c r="B14" s="7">
        <v>1469.2550000000001</v>
      </c>
      <c r="C14" s="7">
        <v>1464.4670000000001</v>
      </c>
      <c r="D14" s="2"/>
      <c r="E14" s="8">
        <v>0.33</v>
      </c>
      <c r="G14" s="14">
        <f t="shared" si="0"/>
        <v>4.7880000000000109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11965.93</v>
      </c>
      <c r="C16" s="7">
        <v>11905.92</v>
      </c>
      <c r="D16" s="3"/>
      <c r="E16" s="8">
        <v>0.5</v>
      </c>
      <c r="G16" s="14">
        <f t="shared" si="0"/>
        <v>60.010000000000218</v>
      </c>
    </row>
    <row r="17" spans="1:7" ht="15.5" x14ac:dyDescent="0.35">
      <c r="A17" s="6" t="s">
        <v>12</v>
      </c>
      <c r="B17" s="7">
        <v>6412.1729999999998</v>
      </c>
      <c r="C17" s="7">
        <v>6410.808</v>
      </c>
      <c r="D17" s="3"/>
      <c r="E17" s="8">
        <v>0.02</v>
      </c>
      <c r="G17" s="14">
        <f t="shared" si="0"/>
        <v>1.3649999999997817</v>
      </c>
    </row>
    <row r="18" spans="1:7" ht="15.5" x14ac:dyDescent="0.35">
      <c r="A18" s="6" t="s">
        <v>13</v>
      </c>
      <c r="B18" s="7">
        <v>2575.5839999999998</v>
      </c>
      <c r="C18" s="7">
        <v>2564.1959999999999</v>
      </c>
      <c r="D18" s="3"/>
      <c r="E18" s="8">
        <v>0.44</v>
      </c>
      <c r="G18" s="14">
        <f t="shared" si="0"/>
        <v>11.38799999999992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1960.59</v>
      </c>
      <c r="C20" s="7">
        <v>1954.84</v>
      </c>
      <c r="D20" s="2"/>
      <c r="E20" s="8">
        <v>0.28999999999999998</v>
      </c>
      <c r="G20" s="14">
        <f t="shared" si="0"/>
        <v>5.75</v>
      </c>
    </row>
    <row r="21" spans="1:7" ht="15.5" x14ac:dyDescent="0.35">
      <c r="A21" s="6" t="s">
        <v>15</v>
      </c>
      <c r="B21" s="7">
        <v>1925.72</v>
      </c>
      <c r="C21" s="7">
        <v>1919.96</v>
      </c>
      <c r="D21" s="2"/>
      <c r="E21" s="8">
        <v>0.3</v>
      </c>
      <c r="G21" s="14">
        <f t="shared" si="0"/>
        <v>5.7599999999999909</v>
      </c>
    </row>
    <row r="22" spans="1:7" ht="31" x14ac:dyDescent="0.35">
      <c r="A22" s="6" t="s">
        <v>16</v>
      </c>
      <c r="B22" s="7">
        <v>1061.69</v>
      </c>
      <c r="C22" s="7">
        <v>1064.27</v>
      </c>
      <c r="D22" s="2"/>
      <c r="E22" s="10">
        <v>-0.24</v>
      </c>
      <c r="G22" s="14">
        <f t="shared" si="0"/>
        <v>-2.5799999999999272</v>
      </c>
    </row>
    <row r="23" spans="1:7" ht="15.5" x14ac:dyDescent="0.35">
      <c r="A23" s="6" t="s">
        <v>17</v>
      </c>
      <c r="B23" s="7">
        <v>1950.61</v>
      </c>
      <c r="C23" s="7">
        <v>1941.9849999999999</v>
      </c>
      <c r="D23" s="3"/>
      <c r="E23" s="8">
        <v>0.44</v>
      </c>
      <c r="G23" s="14">
        <f t="shared" si="0"/>
        <v>8.625</v>
      </c>
    </row>
    <row r="24" spans="1:7" ht="15.5" x14ac:dyDescent="0.35">
      <c r="A24" s="6" t="s">
        <v>18</v>
      </c>
      <c r="B24" s="9">
        <v>100.438</v>
      </c>
      <c r="C24" s="9">
        <v>101.047</v>
      </c>
      <c r="D24" s="3"/>
      <c r="E24" s="10">
        <v>-0.6</v>
      </c>
      <c r="G24" s="14">
        <f t="shared" si="0"/>
        <v>-0.60899999999999466</v>
      </c>
    </row>
    <row r="25" spans="1:7" ht="15.5" x14ac:dyDescent="0.35">
      <c r="A25" s="6" t="s">
        <v>19</v>
      </c>
      <c r="B25" s="9">
        <v>99.375</v>
      </c>
      <c r="C25" s="9">
        <v>99.664000000000001</v>
      </c>
      <c r="D25" s="3"/>
      <c r="E25" s="10">
        <v>-0.28999999999999998</v>
      </c>
      <c r="G25" s="14">
        <f t="shared" si="0"/>
        <v>-0.28900000000000148</v>
      </c>
    </row>
    <row r="26" spans="1:7" ht="15.5" x14ac:dyDescent="0.35">
      <c r="A26" s="6" t="s">
        <v>20</v>
      </c>
      <c r="B26" s="9">
        <v>99.742000000000004</v>
      </c>
      <c r="C26" s="9">
        <v>99.789000000000001</v>
      </c>
      <c r="D26" s="3"/>
      <c r="E26" s="10">
        <v>-0.05</v>
      </c>
      <c r="G26" s="14">
        <f t="shared" si="0"/>
        <v>-4.6999999999997044E-2</v>
      </c>
    </row>
    <row r="27" spans="1:7" x14ac:dyDescent="0.35">
      <c r="A27" s="11" t="s">
        <v>21</v>
      </c>
      <c r="B27" s="9">
        <v>1.1399999999999999</v>
      </c>
      <c r="C27" s="9">
        <v>1.155</v>
      </c>
      <c r="D27" s="3"/>
      <c r="E27" s="10">
        <v>-1.3</v>
      </c>
      <c r="G27" s="14">
        <f t="shared" si="0"/>
        <v>-1.5000000000000124E-2</v>
      </c>
    </row>
    <row r="28" spans="1:7" x14ac:dyDescent="0.35">
      <c r="A28" s="11" t="s">
        <v>22</v>
      </c>
      <c r="B28" s="9">
        <v>1.1200000000000001</v>
      </c>
      <c r="C28" s="9">
        <v>1.1000000000000001</v>
      </c>
      <c r="D28" s="3"/>
      <c r="E28" s="8">
        <v>1.82</v>
      </c>
      <c r="G28" s="14">
        <f t="shared" si="0"/>
        <v>2.0000000000000018E-2</v>
      </c>
    </row>
    <row r="29" spans="1:7" ht="15.5" x14ac:dyDescent="0.35">
      <c r="A29" s="6" t="s">
        <v>23</v>
      </c>
      <c r="B29" s="9">
        <v>101.84399999999999</v>
      </c>
      <c r="C29" s="9">
        <v>103.313</v>
      </c>
      <c r="D29" s="3"/>
      <c r="E29" s="10">
        <v>-1.42</v>
      </c>
      <c r="G29" s="14">
        <f t="shared" si="0"/>
        <v>-1.4690000000000083</v>
      </c>
    </row>
    <row r="30" spans="1:7" ht="15.5" x14ac:dyDescent="0.35">
      <c r="A30" s="6" t="s">
        <v>24</v>
      </c>
      <c r="B30" s="7">
        <v>15202.37</v>
      </c>
      <c r="C30" s="7">
        <v>15128.69</v>
      </c>
      <c r="D30" s="3"/>
      <c r="E30" s="8">
        <v>0.49</v>
      </c>
      <c r="G30" s="14">
        <f t="shared" si="0"/>
        <v>73.680000000000291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5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42942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9624.0499999999993</v>
      </c>
      <c r="C3" s="24">
        <v>9555.18</v>
      </c>
      <c r="D3" s="25"/>
      <c r="E3" s="26">
        <f>G3/B3</f>
        <v>7.1560309848763244E-3</v>
      </c>
      <c r="G3" s="14">
        <f>B3-C3</f>
        <v>68.869999999998981</v>
      </c>
    </row>
    <row r="4" spans="1:7" ht="15.5" x14ac:dyDescent="0.35">
      <c r="A4" s="23" t="s">
        <v>26</v>
      </c>
      <c r="B4" s="24">
        <v>2717.85</v>
      </c>
      <c r="C4" s="24">
        <v>2705.47</v>
      </c>
      <c r="D4" s="25"/>
      <c r="E4" s="26">
        <f>G4/B4</f>
        <v>4.5550711039976854E-3</v>
      </c>
      <c r="G4" s="14">
        <f>B4-C4</f>
        <v>12.380000000000109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21711.01</v>
      </c>
      <c r="C7" s="7">
        <v>21613.43</v>
      </c>
      <c r="D7" s="3"/>
      <c r="E7" s="8">
        <v>0.45</v>
      </c>
      <c r="G7" s="14">
        <f>B7-C7</f>
        <v>97.579999999998108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1776.71</v>
      </c>
      <c r="C9" s="7">
        <v>1791.99</v>
      </c>
      <c r="D9" s="3"/>
      <c r="E9" s="10">
        <v>-0.85</v>
      </c>
      <c r="G9" s="14">
        <f t="shared" ref="G9:G30" si="0">B9-C9</f>
        <v>-15.279999999999973</v>
      </c>
    </row>
    <row r="10" spans="1:7" ht="15.5" x14ac:dyDescent="0.35">
      <c r="A10" s="6" t="s">
        <v>7</v>
      </c>
      <c r="B10" s="7">
        <v>2477.83</v>
      </c>
      <c r="C10" s="7">
        <v>2477.1799999999998</v>
      </c>
      <c r="D10" s="3"/>
      <c r="E10" s="8">
        <v>0.03</v>
      </c>
      <c r="G10" s="14">
        <f t="shared" si="0"/>
        <v>0.65000000000009095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1373.5319999999999</v>
      </c>
      <c r="C12" s="7">
        <v>1373.588</v>
      </c>
      <c r="D12" s="2"/>
      <c r="E12" s="10">
        <v>0</v>
      </c>
      <c r="G12" s="14">
        <f t="shared" si="0"/>
        <v>-5.6000000000040018E-2</v>
      </c>
    </row>
    <row r="13" spans="1:7" ht="15.5" x14ac:dyDescent="0.35">
      <c r="A13" s="6" t="s">
        <v>9</v>
      </c>
      <c r="B13" s="7">
        <v>1442.3420000000001</v>
      </c>
      <c r="C13" s="7">
        <v>1450.4639999999999</v>
      </c>
      <c r="D13" s="2"/>
      <c r="E13" s="10">
        <v>-0.56000000000000005</v>
      </c>
      <c r="G13" s="14">
        <f t="shared" si="0"/>
        <v>-8.1219999999998436</v>
      </c>
    </row>
    <row r="14" spans="1:7" ht="15.5" x14ac:dyDescent="0.35">
      <c r="A14" s="6" t="s">
        <v>10</v>
      </c>
      <c r="B14" s="7">
        <v>1468.5609999999999</v>
      </c>
      <c r="C14" s="7">
        <v>1469.2550000000001</v>
      </c>
      <c r="D14" s="2"/>
      <c r="E14" s="10">
        <v>-0.05</v>
      </c>
      <c r="G14" s="14">
        <f t="shared" si="0"/>
        <v>-0.69400000000018736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11964.84</v>
      </c>
      <c r="C16" s="7">
        <v>11965.93</v>
      </c>
      <c r="D16" s="3"/>
      <c r="E16" s="10">
        <v>-0.01</v>
      </c>
      <c r="G16" s="14">
        <f t="shared" si="0"/>
        <v>-1.0900000000001455</v>
      </c>
    </row>
    <row r="17" spans="1:7" ht="15.5" x14ac:dyDescent="0.35">
      <c r="A17" s="6" t="s">
        <v>12</v>
      </c>
      <c r="B17" s="7">
        <v>6422.7470000000003</v>
      </c>
      <c r="C17" s="7">
        <v>6412.1729999999998</v>
      </c>
      <c r="D17" s="3"/>
      <c r="E17" s="8">
        <v>0.16</v>
      </c>
      <c r="G17" s="14">
        <f t="shared" si="0"/>
        <v>10.574000000000524</v>
      </c>
    </row>
    <row r="18" spans="1:7" ht="15.5" x14ac:dyDescent="0.35">
      <c r="A18" s="6" t="s">
        <v>13</v>
      </c>
      <c r="B18" s="7">
        <v>2587.4720000000002</v>
      </c>
      <c r="C18" s="7">
        <v>2575.5839999999998</v>
      </c>
      <c r="D18" s="3"/>
      <c r="E18" s="8">
        <v>0.46</v>
      </c>
      <c r="G18" s="14">
        <f t="shared" si="0"/>
        <v>11.888000000000375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1961.9</v>
      </c>
      <c r="C20" s="7">
        <v>1960.59</v>
      </c>
      <c r="D20" s="2"/>
      <c r="E20" s="8">
        <v>7.0000000000000007E-2</v>
      </c>
      <c r="G20" s="14">
        <f t="shared" si="0"/>
        <v>1.3100000000001728</v>
      </c>
    </row>
    <row r="21" spans="1:7" ht="15.5" x14ac:dyDescent="0.35">
      <c r="A21" s="6" t="s">
        <v>15</v>
      </c>
      <c r="B21" s="7">
        <v>1929.37</v>
      </c>
      <c r="C21" s="7">
        <v>1925.72</v>
      </c>
      <c r="D21" s="2"/>
      <c r="E21" s="8">
        <v>0.19</v>
      </c>
      <c r="G21" s="14">
        <f t="shared" si="0"/>
        <v>3.6499999999998636</v>
      </c>
    </row>
    <row r="22" spans="1:7" ht="31" x14ac:dyDescent="0.35">
      <c r="A22" s="6" t="s">
        <v>16</v>
      </c>
      <c r="B22" s="7">
        <v>1062.29</v>
      </c>
      <c r="C22" s="7">
        <v>1061.69</v>
      </c>
      <c r="D22" s="2"/>
      <c r="E22" s="8">
        <v>0.06</v>
      </c>
      <c r="G22" s="14">
        <f t="shared" si="0"/>
        <v>0.59999999999990905</v>
      </c>
    </row>
    <row r="23" spans="1:7" ht="15.5" x14ac:dyDescent="0.35">
      <c r="A23" s="6" t="s">
        <v>17</v>
      </c>
      <c r="B23" s="7">
        <v>1946.23</v>
      </c>
      <c r="C23" s="7">
        <v>1950.606</v>
      </c>
      <c r="D23" s="3"/>
      <c r="E23" s="10">
        <v>-0.22</v>
      </c>
      <c r="G23" s="14">
        <f t="shared" si="0"/>
        <v>-4.3759999999999764</v>
      </c>
    </row>
    <row r="24" spans="1:7" ht="15.5" x14ac:dyDescent="0.35">
      <c r="A24" s="6" t="s">
        <v>18</v>
      </c>
      <c r="B24" s="9">
        <v>100.75</v>
      </c>
      <c r="C24" s="9">
        <v>100.438</v>
      </c>
      <c r="D24" s="3"/>
      <c r="E24" s="8">
        <v>0.31</v>
      </c>
      <c r="G24" s="14">
        <f t="shared" si="0"/>
        <v>0.31199999999999761</v>
      </c>
    </row>
    <row r="25" spans="1:7" ht="15.5" x14ac:dyDescent="0.35">
      <c r="A25" s="6" t="s">
        <v>19</v>
      </c>
      <c r="B25" s="9">
        <v>99.625</v>
      </c>
      <c r="C25" s="9">
        <v>99.375</v>
      </c>
      <c r="D25" s="3"/>
      <c r="E25" s="8">
        <v>0.25</v>
      </c>
      <c r="G25" s="14">
        <f t="shared" si="0"/>
        <v>0.25</v>
      </c>
    </row>
    <row r="26" spans="1:7" ht="15.5" x14ac:dyDescent="0.35">
      <c r="A26" s="6" t="s">
        <v>20</v>
      </c>
      <c r="B26" s="9">
        <v>100.039</v>
      </c>
      <c r="C26" s="9">
        <v>99.742000000000004</v>
      </c>
      <c r="D26" s="3"/>
      <c r="E26" s="8">
        <v>0.3</v>
      </c>
      <c r="G26" s="14">
        <f t="shared" si="0"/>
        <v>0.29699999999999704</v>
      </c>
    </row>
    <row r="27" spans="1:7" x14ac:dyDescent="0.35">
      <c r="A27" s="11" t="s">
        <v>21</v>
      </c>
      <c r="B27" s="9">
        <v>1.1100000000000001</v>
      </c>
      <c r="C27" s="9">
        <v>1.1399999999999999</v>
      </c>
      <c r="D27" s="3"/>
      <c r="E27" s="10">
        <v>-2.63</v>
      </c>
      <c r="G27" s="14">
        <f t="shared" si="0"/>
        <v>-2.9999999999999805E-2</v>
      </c>
    </row>
    <row r="28" spans="1:7" x14ac:dyDescent="0.35">
      <c r="A28" s="11" t="s">
        <v>22</v>
      </c>
      <c r="B28" s="9">
        <v>1.115</v>
      </c>
      <c r="C28" s="9">
        <v>1.1200000000000001</v>
      </c>
      <c r="D28" s="3"/>
      <c r="E28" s="10">
        <v>-0.45</v>
      </c>
      <c r="G28" s="14">
        <f t="shared" si="0"/>
        <v>-5.0000000000001155E-3</v>
      </c>
    </row>
    <row r="29" spans="1:7" ht="15.5" x14ac:dyDescent="0.35">
      <c r="A29" s="6" t="s">
        <v>23</v>
      </c>
      <c r="B29" s="9">
        <v>102.086</v>
      </c>
      <c r="C29" s="9">
        <v>101.84399999999999</v>
      </c>
      <c r="D29" s="3"/>
      <c r="E29" s="8">
        <v>0.24</v>
      </c>
      <c r="G29" s="14">
        <f t="shared" si="0"/>
        <v>0.24200000000000443</v>
      </c>
    </row>
    <row r="30" spans="1:7" ht="15.5" x14ac:dyDescent="0.35">
      <c r="A30" s="6" t="s">
        <v>24</v>
      </c>
      <c r="B30" s="7">
        <v>15171.39</v>
      </c>
      <c r="C30" s="7">
        <v>15202.37</v>
      </c>
      <c r="D30" s="3"/>
      <c r="E30" s="10">
        <v>-0.2</v>
      </c>
      <c r="G30" s="14">
        <f t="shared" si="0"/>
        <v>-30.980000000001382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6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42943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9637.9500000000007</v>
      </c>
      <c r="C3" s="24">
        <v>9624.0499999999993</v>
      </c>
      <c r="D3" s="25"/>
      <c r="E3" s="26">
        <f>G3/B3</f>
        <v>1.442215408878595E-3</v>
      </c>
      <c r="G3" s="14">
        <f>B3-C3</f>
        <v>13.900000000001455</v>
      </c>
    </row>
    <row r="4" spans="1:7" ht="15.5" x14ac:dyDescent="0.35">
      <c r="A4" s="23" t="s">
        <v>26</v>
      </c>
      <c r="B4" s="24">
        <v>2718.49</v>
      </c>
      <c r="C4" s="24">
        <v>2706.88</v>
      </c>
      <c r="D4" s="25"/>
      <c r="E4" s="26">
        <f>G4/B4</f>
        <v>4.2707532490462259E-3</v>
      </c>
      <c r="G4" s="14">
        <f>B4-C4</f>
        <v>11.609999999999673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21796.55</v>
      </c>
      <c r="C7" s="7">
        <v>21711.01</v>
      </c>
      <c r="D7" s="3"/>
      <c r="E7" s="8">
        <v>0.39</v>
      </c>
      <c r="G7" s="14">
        <f>B7-C7</f>
        <v>85.540000000000873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1770.98</v>
      </c>
      <c r="C9" s="7">
        <v>1776.71</v>
      </c>
      <c r="D9" s="3"/>
      <c r="E9" s="10">
        <v>-0.32</v>
      </c>
      <c r="G9" s="14">
        <f t="shared" ref="G9:G30" si="0">B9-C9</f>
        <v>-5.7300000000000182</v>
      </c>
    </row>
    <row r="10" spans="1:7" ht="15.5" x14ac:dyDescent="0.35">
      <c r="A10" s="6" t="s">
        <v>7</v>
      </c>
      <c r="B10" s="7">
        <v>2475.4499999999998</v>
      </c>
      <c r="C10" s="7">
        <v>2477.83</v>
      </c>
      <c r="D10" s="3"/>
      <c r="E10" s="10">
        <v>-0.1</v>
      </c>
      <c r="G10" s="14">
        <f t="shared" si="0"/>
        <v>-2.3800000000001091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1371.538</v>
      </c>
      <c r="C12" s="7">
        <v>1373.5319999999999</v>
      </c>
      <c r="D12" s="2"/>
      <c r="E12" s="10">
        <v>-0.15</v>
      </c>
      <c r="G12" s="14">
        <f t="shared" si="0"/>
        <v>-1.9939999999999145</v>
      </c>
    </row>
    <row r="13" spans="1:7" ht="15.5" x14ac:dyDescent="0.35">
      <c r="A13" s="6" t="s">
        <v>9</v>
      </c>
      <c r="B13" s="7">
        <v>1433.672</v>
      </c>
      <c r="C13" s="7">
        <v>1442.3420000000001</v>
      </c>
      <c r="D13" s="2"/>
      <c r="E13" s="10">
        <v>-0.6</v>
      </c>
      <c r="G13" s="14">
        <f t="shared" si="0"/>
        <v>-8.6700000000000728</v>
      </c>
    </row>
    <row r="14" spans="1:7" ht="15.5" x14ac:dyDescent="0.35">
      <c r="A14" s="6" t="s">
        <v>10</v>
      </c>
      <c r="B14" s="7">
        <v>1465.924</v>
      </c>
      <c r="C14" s="7">
        <v>1468.5609999999999</v>
      </c>
      <c r="D14" s="2"/>
      <c r="E14" s="10">
        <v>-0.18</v>
      </c>
      <c r="G14" s="14">
        <f t="shared" si="0"/>
        <v>-2.6369999999999436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11963.2</v>
      </c>
      <c r="C16" s="7">
        <v>11964.84</v>
      </c>
      <c r="D16" s="3"/>
      <c r="E16" s="10">
        <v>-0.01</v>
      </c>
      <c r="G16" s="14">
        <f t="shared" si="0"/>
        <v>-1.6399999999994179</v>
      </c>
    </row>
    <row r="17" spans="1:7" ht="15.5" x14ac:dyDescent="0.35">
      <c r="A17" s="6" t="s">
        <v>12</v>
      </c>
      <c r="B17" s="7">
        <v>6382.1859999999997</v>
      </c>
      <c r="C17" s="7">
        <v>6422.7470000000003</v>
      </c>
      <c r="D17" s="3"/>
      <c r="E17" s="10">
        <v>-0.63</v>
      </c>
      <c r="G17" s="14">
        <f t="shared" si="0"/>
        <v>-40.561000000000604</v>
      </c>
    </row>
    <row r="18" spans="1:7" ht="15.5" x14ac:dyDescent="0.35">
      <c r="A18" s="6" t="s">
        <v>13</v>
      </c>
      <c r="B18" s="7">
        <v>2568.5369999999998</v>
      </c>
      <c r="C18" s="7">
        <v>2587.4720000000002</v>
      </c>
      <c r="D18" s="3"/>
      <c r="E18" s="10">
        <v>-0.73</v>
      </c>
      <c r="G18" s="14">
        <f t="shared" si="0"/>
        <v>-18.9350000000004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1963.54</v>
      </c>
      <c r="C20" s="7">
        <v>1961.9</v>
      </c>
      <c r="D20" s="2"/>
      <c r="E20" s="8">
        <v>0.08</v>
      </c>
      <c r="G20" s="14">
        <f t="shared" si="0"/>
        <v>1.6399999999998727</v>
      </c>
    </row>
    <row r="21" spans="1:7" ht="15.5" x14ac:dyDescent="0.35">
      <c r="A21" s="6" t="s">
        <v>15</v>
      </c>
      <c r="B21" s="7">
        <v>1936.45</v>
      </c>
      <c r="C21" s="7">
        <v>1929.37</v>
      </c>
      <c r="D21" s="2"/>
      <c r="E21" s="8">
        <v>0.37</v>
      </c>
      <c r="G21" s="14">
        <f t="shared" si="0"/>
        <v>7.0800000000001546</v>
      </c>
    </row>
    <row r="22" spans="1:7" ht="31" x14ac:dyDescent="0.35">
      <c r="A22" s="6" t="s">
        <v>16</v>
      </c>
      <c r="B22" s="7">
        <v>1068.95</v>
      </c>
      <c r="C22" s="7">
        <v>1062.29</v>
      </c>
      <c r="D22" s="2"/>
      <c r="E22" s="8">
        <v>0.63</v>
      </c>
      <c r="G22" s="14">
        <f t="shared" si="0"/>
        <v>6.6600000000000819</v>
      </c>
    </row>
    <row r="23" spans="1:7" ht="15.5" x14ac:dyDescent="0.35">
      <c r="A23" s="6" t="s">
        <v>17</v>
      </c>
      <c r="B23" s="7">
        <v>1940.66</v>
      </c>
      <c r="C23" s="7">
        <v>1946.2280000000001</v>
      </c>
      <c r="D23" s="3"/>
      <c r="E23" s="10">
        <v>-0.28999999999999998</v>
      </c>
      <c r="G23" s="14">
        <f t="shared" si="0"/>
        <v>-5.5679999999999836</v>
      </c>
    </row>
    <row r="24" spans="1:7" ht="15.5" x14ac:dyDescent="0.35">
      <c r="A24" s="6" t="s">
        <v>18</v>
      </c>
      <c r="B24" s="9">
        <v>100.563</v>
      </c>
      <c r="C24" s="9">
        <v>100.75</v>
      </c>
      <c r="D24" s="3"/>
      <c r="E24" s="10">
        <v>-0.19</v>
      </c>
      <c r="G24" s="14">
        <f t="shared" si="0"/>
        <v>-0.18699999999999761</v>
      </c>
    </row>
    <row r="25" spans="1:7" ht="15.5" x14ac:dyDescent="0.35">
      <c r="A25" s="6" t="s">
        <v>19</v>
      </c>
      <c r="B25" s="9">
        <v>100.133</v>
      </c>
      <c r="C25" s="9">
        <v>99.625</v>
      </c>
      <c r="D25" s="3"/>
      <c r="E25" s="8">
        <v>0.51</v>
      </c>
      <c r="G25" s="14">
        <f t="shared" si="0"/>
        <v>0.50799999999999557</v>
      </c>
    </row>
    <row r="26" spans="1:7" ht="15.5" x14ac:dyDescent="0.35">
      <c r="A26" s="6" t="s">
        <v>20</v>
      </c>
      <c r="B26" s="9">
        <v>100.03100000000001</v>
      </c>
      <c r="C26" s="9">
        <v>100.039</v>
      </c>
      <c r="D26" s="3"/>
      <c r="E26" s="10">
        <v>-0.01</v>
      </c>
      <c r="G26" s="14">
        <f t="shared" si="0"/>
        <v>-7.9999999999955662E-3</v>
      </c>
    </row>
    <row r="27" spans="1:7" x14ac:dyDescent="0.35">
      <c r="A27" s="11" t="s">
        <v>21</v>
      </c>
      <c r="B27" s="9">
        <v>1.075</v>
      </c>
      <c r="C27" s="9">
        <v>1.1100000000000001</v>
      </c>
      <c r="D27" s="3"/>
      <c r="E27" s="10">
        <v>-3.15</v>
      </c>
      <c r="G27" s="14">
        <f t="shared" si="0"/>
        <v>-3.5000000000000142E-2</v>
      </c>
    </row>
    <row r="28" spans="1:7" x14ac:dyDescent="0.35">
      <c r="A28" s="11" t="s">
        <v>22</v>
      </c>
      <c r="B28" s="9">
        <v>1.105</v>
      </c>
      <c r="C28" s="9">
        <v>1.115</v>
      </c>
      <c r="D28" s="3"/>
      <c r="E28" s="10">
        <v>-0.9</v>
      </c>
      <c r="G28" s="14">
        <f t="shared" si="0"/>
        <v>-1.0000000000000009E-2</v>
      </c>
    </row>
    <row r="29" spans="1:7" ht="15.5" x14ac:dyDescent="0.35">
      <c r="A29" s="6" t="s">
        <v>23</v>
      </c>
      <c r="B29" s="9">
        <v>101.5</v>
      </c>
      <c r="C29" s="9">
        <v>102.086</v>
      </c>
      <c r="D29" s="3"/>
      <c r="E29" s="10">
        <v>-0.56999999999999995</v>
      </c>
      <c r="G29" s="14">
        <f t="shared" si="0"/>
        <v>-0.58599999999999852</v>
      </c>
    </row>
    <row r="30" spans="1:7" ht="15.5" x14ac:dyDescent="0.35">
      <c r="A30" s="6" t="s">
        <v>24</v>
      </c>
      <c r="B30" s="7">
        <v>15191.36</v>
      </c>
      <c r="C30" s="7">
        <v>15171.39</v>
      </c>
      <c r="D30" s="3"/>
      <c r="E30" s="8">
        <v>0.13</v>
      </c>
      <c r="G30" s="14">
        <f t="shared" si="0"/>
        <v>19.970000000001164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7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42944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9609.2099999999991</v>
      </c>
      <c r="C3" s="24">
        <v>9637.9500000000007</v>
      </c>
      <c r="D3" s="25"/>
      <c r="E3" s="26">
        <f>G3/B3</f>
        <v>-2.9908806239016114E-3</v>
      </c>
      <c r="G3" s="14">
        <f>B3-C3</f>
        <v>-28.740000000001601</v>
      </c>
    </row>
    <row r="4" spans="1:7" ht="15.5" x14ac:dyDescent="0.35">
      <c r="A4" s="23" t="s">
        <v>26</v>
      </c>
      <c r="B4" s="24">
        <v>2703.88</v>
      </c>
      <c r="C4" s="24">
        <v>2718.49</v>
      </c>
      <c r="D4" s="25"/>
      <c r="E4" s="26">
        <f>G4/B4</f>
        <v>-5.403346302350575E-3</v>
      </c>
      <c r="G4" s="14">
        <f>B4-C4</f>
        <v>-14.609999999999673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21830.31</v>
      </c>
      <c r="C7" s="7">
        <v>21796.55</v>
      </c>
      <c r="D7" s="3"/>
      <c r="E7" s="8">
        <v>0.15</v>
      </c>
      <c r="G7" s="14">
        <f>B7-C7</f>
        <v>33.760000000002037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1762.34</v>
      </c>
      <c r="C9" s="7">
        <v>1770.98</v>
      </c>
      <c r="D9" s="3"/>
      <c r="E9" s="10">
        <v>-0.49</v>
      </c>
      <c r="G9" s="14">
        <f t="shared" ref="G9:G30" si="0">B9-C9</f>
        <v>-8.6400000000001</v>
      </c>
    </row>
    <row r="10" spans="1:7" ht="15.5" x14ac:dyDescent="0.35">
      <c r="A10" s="6" t="s">
        <v>7</v>
      </c>
      <c r="B10" s="7">
        <v>2472.09</v>
      </c>
      <c r="C10" s="7">
        <v>2475.4499999999998</v>
      </c>
      <c r="D10" s="3"/>
      <c r="E10" s="10">
        <v>-0.14000000000000001</v>
      </c>
      <c r="G10" s="14">
        <f t="shared" si="0"/>
        <v>-3.3599999999996726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1369.5650000000001</v>
      </c>
      <c r="C12" s="7">
        <v>1371.538</v>
      </c>
      <c r="D12" s="2"/>
      <c r="E12" s="10">
        <v>-0.14000000000000001</v>
      </c>
      <c r="G12" s="14">
        <f t="shared" si="0"/>
        <v>-1.9729999999999563</v>
      </c>
    </row>
    <row r="13" spans="1:7" ht="15.5" x14ac:dyDescent="0.35">
      <c r="A13" s="6" t="s">
        <v>9</v>
      </c>
      <c r="B13" s="7">
        <v>1429.356</v>
      </c>
      <c r="C13" s="7">
        <v>1433.672</v>
      </c>
      <c r="D13" s="2"/>
      <c r="E13" s="10">
        <v>-0.3</v>
      </c>
      <c r="G13" s="14">
        <f t="shared" si="0"/>
        <v>-4.3160000000000309</v>
      </c>
    </row>
    <row r="14" spans="1:7" ht="15.5" x14ac:dyDescent="0.35">
      <c r="A14" s="6" t="s">
        <v>10</v>
      </c>
      <c r="B14" s="7">
        <v>1463.6310000000001</v>
      </c>
      <c r="C14" s="7">
        <v>1465.924</v>
      </c>
      <c r="D14" s="2"/>
      <c r="E14" s="10">
        <v>-0.16</v>
      </c>
      <c r="G14" s="14">
        <f t="shared" si="0"/>
        <v>-2.2929999999998927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11954.71</v>
      </c>
      <c r="C16" s="7">
        <v>11963.2</v>
      </c>
      <c r="D16" s="3"/>
      <c r="E16" s="10">
        <v>-7.0000000000000007E-2</v>
      </c>
      <c r="G16" s="14">
        <f t="shared" si="0"/>
        <v>-8.4900000000016007</v>
      </c>
    </row>
    <row r="17" spans="1:7" ht="15.5" x14ac:dyDescent="0.35">
      <c r="A17" s="6" t="s">
        <v>12</v>
      </c>
      <c r="B17" s="7">
        <v>6374.6769999999997</v>
      </c>
      <c r="C17" s="7">
        <v>6382.1859999999997</v>
      </c>
      <c r="D17" s="3"/>
      <c r="E17" s="10">
        <v>-0.12</v>
      </c>
      <c r="G17" s="14">
        <f t="shared" si="0"/>
        <v>-7.5090000000000146</v>
      </c>
    </row>
    <row r="18" spans="1:7" ht="15.5" x14ac:dyDescent="0.35">
      <c r="A18" s="6" t="s">
        <v>13</v>
      </c>
      <c r="B18" s="7">
        <v>2562.0650000000001</v>
      </c>
      <c r="C18" s="7">
        <v>2568.5369999999998</v>
      </c>
      <c r="D18" s="3"/>
      <c r="E18" s="10">
        <v>-0.25</v>
      </c>
      <c r="G18" s="14">
        <f t="shared" si="0"/>
        <v>-6.4719999999997526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1960.32</v>
      </c>
      <c r="C20" s="7">
        <v>1963.54</v>
      </c>
      <c r="D20" s="2"/>
      <c r="E20" s="10">
        <v>-0.16</v>
      </c>
      <c r="G20" s="14">
        <f t="shared" si="0"/>
        <v>-3.2200000000000273</v>
      </c>
    </row>
    <row r="21" spans="1:7" ht="15.5" x14ac:dyDescent="0.35">
      <c r="A21" s="6" t="s">
        <v>15</v>
      </c>
      <c r="B21" s="7">
        <v>1931.73</v>
      </c>
      <c r="C21" s="7">
        <v>1936.45</v>
      </c>
      <c r="D21" s="2"/>
      <c r="E21" s="10">
        <v>-0.24</v>
      </c>
      <c r="G21" s="14">
        <f t="shared" si="0"/>
        <v>-4.7200000000000273</v>
      </c>
    </row>
    <row r="22" spans="1:7" ht="31" x14ac:dyDescent="0.35">
      <c r="A22" s="6" t="s">
        <v>16</v>
      </c>
      <c r="B22" s="7">
        <v>1063.1099999999999</v>
      </c>
      <c r="C22" s="7">
        <v>1068.95</v>
      </c>
      <c r="D22" s="2"/>
      <c r="E22" s="10">
        <v>-0.55000000000000004</v>
      </c>
      <c r="G22" s="14">
        <f t="shared" si="0"/>
        <v>-5.8400000000001455</v>
      </c>
    </row>
    <row r="23" spans="1:7" ht="15.5" x14ac:dyDescent="0.35">
      <c r="A23" s="6" t="s">
        <v>17</v>
      </c>
      <c r="B23" s="7">
        <v>1937.7</v>
      </c>
      <c r="C23" s="7">
        <v>1940.66</v>
      </c>
      <c r="D23" s="3"/>
      <c r="E23" s="10">
        <v>-0.15</v>
      </c>
      <c r="G23" s="14">
        <f t="shared" si="0"/>
        <v>-2.9600000000000364</v>
      </c>
    </row>
    <row r="24" spans="1:7" ht="15.5" x14ac:dyDescent="0.35">
      <c r="A24" s="6" t="s">
        <v>18</v>
      </c>
      <c r="B24" s="9">
        <v>100.76600000000001</v>
      </c>
      <c r="C24" s="9">
        <v>100.563</v>
      </c>
      <c r="D24" s="3"/>
      <c r="E24" s="8">
        <v>0.2</v>
      </c>
      <c r="G24" s="14">
        <f t="shared" si="0"/>
        <v>0.20300000000000296</v>
      </c>
    </row>
    <row r="25" spans="1:7" ht="15.5" x14ac:dyDescent="0.35">
      <c r="A25" s="6" t="s">
        <v>19</v>
      </c>
      <c r="B25" s="9">
        <v>100.211</v>
      </c>
      <c r="C25" s="9">
        <v>100.133</v>
      </c>
      <c r="D25" s="3"/>
      <c r="E25" s="8">
        <v>0.08</v>
      </c>
      <c r="G25" s="14">
        <f t="shared" si="0"/>
        <v>7.8000000000002956E-2</v>
      </c>
    </row>
    <row r="26" spans="1:7" ht="15.5" x14ac:dyDescent="0.35">
      <c r="A26" s="6" t="s">
        <v>20</v>
      </c>
      <c r="B26" s="9">
        <v>100.05500000000001</v>
      </c>
      <c r="C26" s="9">
        <v>100.03100000000001</v>
      </c>
      <c r="D26" s="3"/>
      <c r="E26" s="8">
        <v>0.02</v>
      </c>
      <c r="G26" s="14">
        <f t="shared" si="0"/>
        <v>2.4000000000000909E-2</v>
      </c>
    </row>
    <row r="27" spans="1:7" x14ac:dyDescent="0.35">
      <c r="A27" s="11" t="s">
        <v>21</v>
      </c>
      <c r="B27" s="9">
        <v>1.07</v>
      </c>
      <c r="C27" s="9">
        <v>1.075</v>
      </c>
      <c r="D27" s="3"/>
      <c r="E27" s="10">
        <v>-0.47</v>
      </c>
      <c r="G27" s="14">
        <f t="shared" si="0"/>
        <v>-4.9999999999998934E-3</v>
      </c>
    </row>
    <row r="28" spans="1:7" x14ac:dyDescent="0.35">
      <c r="A28" s="11" t="s">
        <v>22</v>
      </c>
      <c r="B28" s="9">
        <v>1.1100000000000001</v>
      </c>
      <c r="C28" s="9">
        <v>1.105</v>
      </c>
      <c r="D28" s="3"/>
      <c r="E28" s="8">
        <v>0.45</v>
      </c>
      <c r="G28" s="14">
        <f t="shared" si="0"/>
        <v>5.0000000000001155E-3</v>
      </c>
    </row>
    <row r="29" spans="1:7" ht="15.5" x14ac:dyDescent="0.35">
      <c r="A29" s="6" t="s">
        <v>23</v>
      </c>
      <c r="B29" s="9">
        <v>102.10899999999999</v>
      </c>
      <c r="C29" s="9">
        <v>101.5</v>
      </c>
      <c r="D29" s="3"/>
      <c r="E29" s="8">
        <v>0.6</v>
      </c>
      <c r="G29" s="14">
        <f t="shared" si="0"/>
        <v>0.60899999999999466</v>
      </c>
    </row>
    <row r="30" spans="1:7" ht="15.5" x14ac:dyDescent="0.35">
      <c r="A30" s="6" t="s">
        <v>24</v>
      </c>
      <c r="B30" s="7">
        <v>15128.65</v>
      </c>
      <c r="C30" s="7">
        <v>15191.36</v>
      </c>
      <c r="D30" s="3"/>
      <c r="E30" s="10">
        <v>-0.41</v>
      </c>
      <c r="G30" s="14">
        <f t="shared" si="0"/>
        <v>-62.710000000000946</v>
      </c>
    </row>
  </sheetData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8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42947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9605.39</v>
      </c>
      <c r="C3" s="24">
        <v>9609.16</v>
      </c>
      <c r="D3" s="25"/>
      <c r="E3" s="26">
        <f>G3/B3</f>
        <v>-3.9248796769318444E-4</v>
      </c>
      <c r="G3" s="14">
        <f>B3-C3</f>
        <v>-3.7700000000004366</v>
      </c>
    </row>
    <row r="4" spans="1:7" ht="15.5" x14ac:dyDescent="0.35">
      <c r="A4" s="23" t="s">
        <v>26</v>
      </c>
      <c r="B4" s="24">
        <v>2719.16</v>
      </c>
      <c r="C4" s="24">
        <v>2703.46</v>
      </c>
      <c r="D4" s="25"/>
      <c r="E4" s="26">
        <f>G4/B4</f>
        <v>5.7738419217698914E-3</v>
      </c>
      <c r="G4" s="14">
        <f>B4-C4</f>
        <v>15.699999999999818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21891.119999999999</v>
      </c>
      <c r="C7" s="7">
        <v>21830.31</v>
      </c>
      <c r="D7" s="3"/>
      <c r="E7" s="8">
        <v>0.28000000000000003</v>
      </c>
      <c r="G7" s="14">
        <f>B7-C7</f>
        <v>60.809999999997672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1760.62</v>
      </c>
      <c r="C9" s="7">
        <v>1762.34</v>
      </c>
      <c r="D9" s="3"/>
      <c r="E9" s="10">
        <v>-0.1</v>
      </c>
      <c r="G9" s="14">
        <f t="shared" ref="G9:G30" si="0">B9-C9</f>
        <v>-1.7200000000000273</v>
      </c>
    </row>
    <row r="10" spans="1:7" ht="15.5" x14ac:dyDescent="0.35">
      <c r="A10" s="6" t="s">
        <v>7</v>
      </c>
      <c r="B10" s="7">
        <v>2470.4499999999998</v>
      </c>
      <c r="C10" s="7">
        <v>2472.09</v>
      </c>
      <c r="D10" s="3"/>
      <c r="E10" s="10">
        <v>-7.0000000000000007E-2</v>
      </c>
      <c r="G10" s="14">
        <f t="shared" si="0"/>
        <v>-1.6400000000003274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1368.634</v>
      </c>
      <c r="C12" s="7">
        <v>1369.5650000000001</v>
      </c>
      <c r="D12" s="2"/>
      <c r="E12" s="10">
        <v>-7.0000000000000007E-2</v>
      </c>
      <c r="G12" s="14">
        <f t="shared" si="0"/>
        <v>-0.93100000000004002</v>
      </c>
    </row>
    <row r="13" spans="1:7" ht="15.5" x14ac:dyDescent="0.35">
      <c r="A13" s="6" t="s">
        <v>9</v>
      </c>
      <c r="B13" s="7">
        <v>1425.11</v>
      </c>
      <c r="C13" s="7">
        <v>1429.356</v>
      </c>
      <c r="D13" s="2"/>
      <c r="E13" s="10">
        <v>-0.3</v>
      </c>
      <c r="G13" s="14">
        <f t="shared" si="0"/>
        <v>-4.2460000000000946</v>
      </c>
    </row>
    <row r="14" spans="1:7" ht="15.5" x14ac:dyDescent="0.35">
      <c r="A14" s="6" t="s">
        <v>10</v>
      </c>
      <c r="B14" s="7">
        <v>1462.396</v>
      </c>
      <c r="C14" s="7">
        <v>1463.6310000000001</v>
      </c>
      <c r="D14" s="2"/>
      <c r="E14" s="10">
        <v>-0.08</v>
      </c>
      <c r="G14" s="14">
        <f t="shared" si="0"/>
        <v>-1.2350000000001273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11967.76</v>
      </c>
      <c r="C16" s="7">
        <v>11954.71</v>
      </c>
      <c r="D16" s="3"/>
      <c r="E16" s="8">
        <v>0.11</v>
      </c>
      <c r="G16" s="14">
        <f t="shared" si="0"/>
        <v>13.050000000001091</v>
      </c>
    </row>
    <row r="17" spans="1:7" ht="15.5" x14ac:dyDescent="0.35">
      <c r="A17" s="6" t="s">
        <v>12</v>
      </c>
      <c r="B17" s="7">
        <v>6348.1229999999996</v>
      </c>
      <c r="C17" s="7">
        <v>6374.6769999999997</v>
      </c>
      <c r="D17" s="3"/>
      <c r="E17" s="10">
        <v>-0.42</v>
      </c>
      <c r="G17" s="14">
        <f t="shared" si="0"/>
        <v>-26.554000000000087</v>
      </c>
    </row>
    <row r="18" spans="1:7" ht="15.5" x14ac:dyDescent="0.35">
      <c r="A18" s="6" t="s">
        <v>13</v>
      </c>
      <c r="B18" s="7">
        <v>2551.5700000000002</v>
      </c>
      <c r="C18" s="7">
        <v>2562.0650000000001</v>
      </c>
      <c r="D18" s="3"/>
      <c r="E18" s="10">
        <v>-0.41</v>
      </c>
      <c r="G18" s="14">
        <f t="shared" si="0"/>
        <v>-10.494999999999891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1962.63</v>
      </c>
      <c r="C20" s="7">
        <v>1960.32</v>
      </c>
      <c r="D20" s="2"/>
      <c r="E20" s="8">
        <v>0.12</v>
      </c>
      <c r="G20" s="14">
        <f t="shared" si="0"/>
        <v>2.3100000000001728</v>
      </c>
    </row>
    <row r="21" spans="1:7" ht="15.5" x14ac:dyDescent="0.35">
      <c r="A21" s="6" t="s">
        <v>15</v>
      </c>
      <c r="B21" s="7">
        <v>1940.44</v>
      </c>
      <c r="C21" s="7">
        <v>1931.73</v>
      </c>
      <c r="D21" s="2"/>
      <c r="E21" s="8">
        <v>0.45</v>
      </c>
      <c r="G21" s="14">
        <f t="shared" si="0"/>
        <v>8.7100000000000364</v>
      </c>
    </row>
    <row r="22" spans="1:7" ht="31" x14ac:dyDescent="0.35">
      <c r="A22" s="6" t="s">
        <v>16</v>
      </c>
      <c r="B22" s="7">
        <v>1066.53</v>
      </c>
      <c r="C22" s="7">
        <v>1063.1099999999999</v>
      </c>
      <c r="D22" s="2"/>
      <c r="E22" s="8">
        <v>0.32</v>
      </c>
      <c r="G22" s="14">
        <f t="shared" si="0"/>
        <v>3.4200000000000728</v>
      </c>
    </row>
    <row r="23" spans="1:7" ht="15.5" x14ac:dyDescent="0.35">
      <c r="A23" s="6" t="s">
        <v>17</v>
      </c>
      <c r="B23" s="7">
        <v>1936.95</v>
      </c>
      <c r="C23" s="7">
        <v>1937.701</v>
      </c>
      <c r="D23" s="3"/>
      <c r="E23" s="10">
        <v>-0.04</v>
      </c>
      <c r="G23" s="14">
        <f t="shared" si="0"/>
        <v>-0.75099999999997635</v>
      </c>
    </row>
    <row r="24" spans="1:7" ht="15.5" x14ac:dyDescent="0.35">
      <c r="A24" s="6" t="s">
        <v>18</v>
      </c>
      <c r="B24" s="9">
        <v>100.75</v>
      </c>
      <c r="C24" s="9">
        <v>100.76600000000001</v>
      </c>
      <c r="D24" s="3"/>
      <c r="E24" s="10">
        <v>-0.02</v>
      </c>
      <c r="G24" s="14">
        <f t="shared" si="0"/>
        <v>-1.6000000000005343E-2</v>
      </c>
    </row>
    <row r="25" spans="1:7" ht="15.5" x14ac:dyDescent="0.35">
      <c r="A25" s="6" t="s">
        <v>19</v>
      </c>
      <c r="B25" s="9">
        <v>100.203</v>
      </c>
      <c r="C25" s="9">
        <v>100.211</v>
      </c>
      <c r="D25" s="3"/>
      <c r="E25" s="10">
        <v>-0.01</v>
      </c>
      <c r="G25" s="14">
        <f t="shared" si="0"/>
        <v>-7.9999999999955662E-3</v>
      </c>
    </row>
    <row r="26" spans="1:7" ht="15.5" x14ac:dyDescent="0.35">
      <c r="A26" s="6" t="s">
        <v>20</v>
      </c>
      <c r="B26" s="9">
        <v>100.05500000000001</v>
      </c>
      <c r="C26" s="9">
        <v>100.05500000000001</v>
      </c>
      <c r="D26" s="3"/>
      <c r="E26" s="8">
        <v>0</v>
      </c>
      <c r="G26" s="14">
        <f t="shared" si="0"/>
        <v>0</v>
      </c>
    </row>
    <row r="27" spans="1:7" x14ac:dyDescent="0.35">
      <c r="A27" s="11" t="s">
        <v>21</v>
      </c>
      <c r="B27" s="9">
        <v>1.06</v>
      </c>
      <c r="C27" s="9">
        <v>1.07</v>
      </c>
      <c r="D27" s="3"/>
      <c r="E27" s="10">
        <v>-0.93</v>
      </c>
      <c r="G27" s="14">
        <f t="shared" si="0"/>
        <v>-1.0000000000000009E-2</v>
      </c>
    </row>
    <row r="28" spans="1:7" x14ac:dyDescent="0.35">
      <c r="A28" s="11" t="s">
        <v>22</v>
      </c>
      <c r="B28" s="9">
        <v>1.115</v>
      </c>
      <c r="C28" s="9">
        <v>1.1100000000000001</v>
      </c>
      <c r="D28" s="3"/>
      <c r="E28" s="8">
        <v>0.45</v>
      </c>
      <c r="G28" s="14">
        <f t="shared" si="0"/>
        <v>4.9999999999998934E-3</v>
      </c>
    </row>
    <row r="29" spans="1:7" ht="15.5" x14ac:dyDescent="0.35">
      <c r="A29" s="6" t="s">
        <v>23</v>
      </c>
      <c r="B29" s="9">
        <v>102.07</v>
      </c>
      <c r="C29" s="9">
        <v>102.10899999999999</v>
      </c>
      <c r="D29" s="3"/>
      <c r="E29" s="10">
        <v>-0.04</v>
      </c>
      <c r="G29" s="14">
        <f t="shared" si="0"/>
        <v>-3.9000000000001478E-2</v>
      </c>
    </row>
    <row r="30" spans="1:7" ht="15.5" x14ac:dyDescent="0.35">
      <c r="A30" s="6" t="s">
        <v>24</v>
      </c>
      <c r="B30" s="7">
        <v>15143.87</v>
      </c>
      <c r="C30" s="7">
        <v>15128.65</v>
      </c>
      <c r="D30" s="3"/>
      <c r="E30" s="8">
        <v>0.1</v>
      </c>
      <c r="G30" s="14">
        <f t="shared" si="0"/>
        <v>15.220000000001164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9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42948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9648.59</v>
      </c>
      <c r="C3" s="24">
        <v>9605.39</v>
      </c>
      <c r="D3" s="25"/>
      <c r="E3" s="26">
        <f>G3/B3</f>
        <v>4.4773381395624362E-3</v>
      </c>
      <c r="G3" s="14">
        <f>B3-C3</f>
        <v>43.200000000000728</v>
      </c>
    </row>
    <row r="4" spans="1:7" ht="15.5" x14ac:dyDescent="0.35">
      <c r="A4" s="23" t="s">
        <v>26</v>
      </c>
      <c r="B4" s="24">
        <v>2728.02</v>
      </c>
      <c r="C4" s="24">
        <v>2719.16</v>
      </c>
      <c r="D4" s="25"/>
      <c r="E4" s="26">
        <f>G4/B4</f>
        <v>3.2477767758301358E-3</v>
      </c>
      <c r="G4" s="14">
        <f>B4-C4</f>
        <v>8.8600000000001273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21963.919999999998</v>
      </c>
      <c r="C7" s="7">
        <v>21891.119999999999</v>
      </c>
      <c r="D7" s="3"/>
      <c r="E7" s="8">
        <v>0.33</v>
      </c>
      <c r="G7" s="14">
        <f>B7-C7</f>
        <v>72.799999999999272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1764.63</v>
      </c>
      <c r="C9" s="7">
        <v>1760.62</v>
      </c>
      <c r="D9" s="3"/>
      <c r="E9" s="8">
        <v>0.23</v>
      </c>
      <c r="G9" s="14">
        <f t="shared" ref="G9:G30" si="0">B9-C9</f>
        <v>4.0100000000002183</v>
      </c>
    </row>
    <row r="10" spans="1:7" ht="15.5" x14ac:dyDescent="0.35">
      <c r="A10" s="6" t="s">
        <v>7</v>
      </c>
      <c r="B10" s="7">
        <v>2476.2600000000002</v>
      </c>
      <c r="C10" s="7">
        <v>2470.4499999999998</v>
      </c>
      <c r="D10" s="3"/>
      <c r="E10" s="8">
        <v>0.24</v>
      </c>
      <c r="G10" s="14">
        <f t="shared" si="0"/>
        <v>5.8100000000004002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1371.819</v>
      </c>
      <c r="C12" s="7">
        <v>1368.634</v>
      </c>
      <c r="D12" s="2"/>
      <c r="E12" s="8">
        <v>0.23</v>
      </c>
      <c r="G12" s="14">
        <f t="shared" si="0"/>
        <v>3.1849999999999454</v>
      </c>
    </row>
    <row r="13" spans="1:7" ht="15.5" x14ac:dyDescent="0.35">
      <c r="A13" s="6" t="s">
        <v>9</v>
      </c>
      <c r="B13" s="7">
        <v>1428.4190000000001</v>
      </c>
      <c r="C13" s="7">
        <v>1425.11</v>
      </c>
      <c r="D13" s="2"/>
      <c r="E13" s="8">
        <v>0.23</v>
      </c>
      <c r="G13" s="14">
        <f t="shared" si="0"/>
        <v>3.3090000000001965</v>
      </c>
    </row>
    <row r="14" spans="1:7" ht="15.5" x14ac:dyDescent="0.35">
      <c r="A14" s="6" t="s">
        <v>10</v>
      </c>
      <c r="B14" s="7">
        <v>1465.7840000000001</v>
      </c>
      <c r="C14" s="7">
        <v>1462.396</v>
      </c>
      <c r="D14" s="2"/>
      <c r="E14" s="8">
        <v>0.23</v>
      </c>
      <c r="G14" s="14">
        <f t="shared" si="0"/>
        <v>3.3880000000001473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11999.86</v>
      </c>
      <c r="C16" s="7">
        <v>11967.76</v>
      </c>
      <c r="D16" s="3"/>
      <c r="E16" s="8">
        <v>0.27</v>
      </c>
      <c r="G16" s="14">
        <f t="shared" si="0"/>
        <v>32.100000000000364</v>
      </c>
    </row>
    <row r="17" spans="1:7" ht="15.5" x14ac:dyDescent="0.35">
      <c r="A17" s="6" t="s">
        <v>12</v>
      </c>
      <c r="B17" s="7">
        <v>6362.9380000000001</v>
      </c>
      <c r="C17" s="7">
        <v>6348.1229999999996</v>
      </c>
      <c r="D17" s="3"/>
      <c r="E17" s="8">
        <v>0.23</v>
      </c>
      <c r="G17" s="14">
        <f t="shared" si="0"/>
        <v>14.815000000000509</v>
      </c>
    </row>
    <row r="18" spans="1:7" ht="15.5" x14ac:dyDescent="0.35">
      <c r="A18" s="6" t="s">
        <v>13</v>
      </c>
      <c r="B18" s="7">
        <v>2553.4580000000001</v>
      </c>
      <c r="C18" s="7">
        <v>2551.5700000000002</v>
      </c>
      <c r="D18" s="3"/>
      <c r="E18" s="8">
        <v>7.0000000000000007E-2</v>
      </c>
      <c r="G18" s="14">
        <f t="shared" si="0"/>
        <v>1.88799999999992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1969.11</v>
      </c>
      <c r="C20" s="7">
        <v>1962.63</v>
      </c>
      <c r="D20" s="2"/>
      <c r="E20" s="8">
        <v>0.33</v>
      </c>
      <c r="G20" s="14">
        <f t="shared" si="0"/>
        <v>6.4799999999997908</v>
      </c>
    </row>
    <row r="21" spans="1:7" ht="15.5" x14ac:dyDescent="0.35">
      <c r="A21" s="6" t="s">
        <v>15</v>
      </c>
      <c r="B21" s="7">
        <v>1950.56</v>
      </c>
      <c r="C21" s="7">
        <v>1940.44</v>
      </c>
      <c r="D21" s="2"/>
      <c r="E21" s="8">
        <v>0.52</v>
      </c>
      <c r="G21" s="14">
        <f t="shared" si="0"/>
        <v>10.119999999999891</v>
      </c>
    </row>
    <row r="22" spans="1:7" ht="31" x14ac:dyDescent="0.35">
      <c r="A22" s="6" t="s">
        <v>16</v>
      </c>
      <c r="B22" s="7">
        <v>1067.83</v>
      </c>
      <c r="C22" s="7">
        <v>1066.53</v>
      </c>
      <c r="D22" s="2"/>
      <c r="E22" s="8">
        <v>0.12</v>
      </c>
      <c r="G22" s="14">
        <f t="shared" si="0"/>
        <v>1.2999999999999545</v>
      </c>
    </row>
    <row r="23" spans="1:7" ht="15.5" x14ac:dyDescent="0.35">
      <c r="A23" s="6" t="s">
        <v>17</v>
      </c>
      <c r="B23" s="7">
        <v>1939</v>
      </c>
      <c r="C23" s="7">
        <v>1936.952</v>
      </c>
      <c r="D23" s="3"/>
      <c r="E23" s="8">
        <v>0.11</v>
      </c>
      <c r="G23" s="14">
        <f t="shared" si="0"/>
        <v>2.0480000000000018</v>
      </c>
    </row>
    <row r="24" spans="1:7" ht="15.5" x14ac:dyDescent="0.35">
      <c r="A24" s="6" t="s">
        <v>18</v>
      </c>
      <c r="B24" s="9">
        <v>101.078</v>
      </c>
      <c r="C24" s="9">
        <v>100.75</v>
      </c>
      <c r="D24" s="3"/>
      <c r="E24" s="8">
        <v>0.33</v>
      </c>
      <c r="G24" s="14">
        <f t="shared" si="0"/>
        <v>0.32800000000000296</v>
      </c>
    </row>
    <row r="25" spans="1:7" ht="15.5" x14ac:dyDescent="0.35">
      <c r="A25" s="6" t="s">
        <v>19</v>
      </c>
      <c r="B25" s="9">
        <v>100.35899999999999</v>
      </c>
      <c r="C25" s="9">
        <v>100.203</v>
      </c>
      <c r="D25" s="3"/>
      <c r="E25" s="8">
        <v>0.16</v>
      </c>
      <c r="G25" s="14">
        <f t="shared" si="0"/>
        <v>0.1559999999999917</v>
      </c>
    </row>
    <row r="26" spans="1:7" ht="15.5" x14ac:dyDescent="0.35">
      <c r="A26" s="6" t="s">
        <v>20</v>
      </c>
      <c r="B26" s="9">
        <v>100.063</v>
      </c>
      <c r="C26" s="9">
        <v>100.05500000000001</v>
      </c>
      <c r="D26" s="3"/>
      <c r="E26" s="8">
        <v>0.01</v>
      </c>
      <c r="G26" s="14">
        <f t="shared" si="0"/>
        <v>7.9999999999955662E-3</v>
      </c>
    </row>
    <row r="27" spans="1:7" x14ac:dyDescent="0.35">
      <c r="A27" s="11" t="s">
        <v>21</v>
      </c>
      <c r="B27" s="9">
        <v>1.0549999999999999</v>
      </c>
      <c r="C27" s="9">
        <v>1.06</v>
      </c>
      <c r="D27" s="3"/>
      <c r="E27" s="10">
        <v>-0.47</v>
      </c>
      <c r="G27" s="14">
        <f t="shared" si="0"/>
        <v>-5.0000000000001155E-3</v>
      </c>
    </row>
    <row r="28" spans="1:7" x14ac:dyDescent="0.35">
      <c r="A28" s="11" t="s">
        <v>22</v>
      </c>
      <c r="B28" s="9">
        <v>1.115</v>
      </c>
      <c r="C28" s="9">
        <v>1.115</v>
      </c>
      <c r="D28" s="3"/>
      <c r="E28" s="8">
        <v>0</v>
      </c>
      <c r="G28" s="14">
        <f t="shared" si="0"/>
        <v>0</v>
      </c>
    </row>
    <row r="29" spans="1:7" ht="15.5" x14ac:dyDescent="0.35">
      <c r="A29" s="6" t="s">
        <v>23</v>
      </c>
      <c r="B29" s="9">
        <v>102.914</v>
      </c>
      <c r="C29" s="9">
        <v>102.07</v>
      </c>
      <c r="D29" s="3"/>
      <c r="E29" s="8">
        <v>0.83</v>
      </c>
      <c r="G29" s="14">
        <f t="shared" si="0"/>
        <v>0.8440000000000083</v>
      </c>
    </row>
    <row r="30" spans="1:7" ht="15.5" x14ac:dyDescent="0.35">
      <c r="A30" s="6" t="s">
        <v>24</v>
      </c>
      <c r="B30" s="7">
        <v>15202.1</v>
      </c>
      <c r="C30" s="7">
        <v>15143.87</v>
      </c>
      <c r="D30" s="3"/>
      <c r="E30" s="8">
        <v>0.38</v>
      </c>
      <c r="G30" s="14">
        <f t="shared" si="0"/>
        <v>58.229999999999563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70"/>
  <dimension ref="A1:G30"/>
  <sheetViews>
    <sheetView workbookViewId="0"/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42949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9563.67</v>
      </c>
      <c r="C3" s="24">
        <v>9648.59</v>
      </c>
      <c r="D3" s="25"/>
      <c r="E3" s="26">
        <f>G3/B3</f>
        <v>-8.8794364506512742E-3</v>
      </c>
      <c r="G3" s="14">
        <f>B3-C3</f>
        <v>-84.920000000000073</v>
      </c>
    </row>
    <row r="4" spans="1:7" ht="15.5" x14ac:dyDescent="0.35">
      <c r="A4" s="23" t="s">
        <v>26</v>
      </c>
      <c r="B4" s="24">
        <v>2739.28</v>
      </c>
      <c r="C4" s="24">
        <v>2731.06</v>
      </c>
      <c r="D4" s="25"/>
      <c r="E4" s="26">
        <f>G4/B4</f>
        <v>3.0007885283725119E-3</v>
      </c>
      <c r="G4" s="14">
        <f>B4-C4</f>
        <v>8.2200000000002547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22016.240000000002</v>
      </c>
      <c r="C7" s="7">
        <v>21963.919999999998</v>
      </c>
      <c r="D7" s="3"/>
      <c r="E7" s="8">
        <v>0.24</v>
      </c>
      <c r="G7" s="14">
        <f>B7-C7</f>
        <v>52.320000000003347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1752.37</v>
      </c>
      <c r="C9" s="7">
        <v>1764.63</v>
      </c>
      <c r="D9" s="3"/>
      <c r="E9" s="10">
        <v>-0.69</v>
      </c>
      <c r="G9" s="14">
        <f t="shared" ref="G9:G30" si="0">B9-C9</f>
        <v>-12.260000000000218</v>
      </c>
    </row>
    <row r="10" spans="1:7" ht="15.5" x14ac:dyDescent="0.35">
      <c r="A10" s="6" t="s">
        <v>7</v>
      </c>
      <c r="B10" s="7">
        <v>2477.35</v>
      </c>
      <c r="C10" s="7">
        <v>2476.2600000000002</v>
      </c>
      <c r="D10" s="3"/>
      <c r="E10" s="8">
        <v>0.04</v>
      </c>
      <c r="G10" s="14">
        <f t="shared" si="0"/>
        <v>1.0899999999996908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1371.579</v>
      </c>
      <c r="C12" s="7">
        <v>1371.819</v>
      </c>
      <c r="D12" s="2"/>
      <c r="E12" s="10">
        <v>-0.02</v>
      </c>
      <c r="G12" s="14">
        <f t="shared" si="0"/>
        <v>-0.24000000000000909</v>
      </c>
    </row>
    <row r="13" spans="1:7" ht="15.5" x14ac:dyDescent="0.35">
      <c r="A13" s="6" t="s">
        <v>9</v>
      </c>
      <c r="B13" s="7">
        <v>1412.94</v>
      </c>
      <c r="C13" s="7">
        <v>1428.4190000000001</v>
      </c>
      <c r="D13" s="2"/>
      <c r="E13" s="10">
        <v>-1.08</v>
      </c>
      <c r="G13" s="14">
        <f t="shared" si="0"/>
        <v>-15.479000000000042</v>
      </c>
    </row>
    <row r="14" spans="1:7" ht="15.5" x14ac:dyDescent="0.35">
      <c r="A14" s="6" t="s">
        <v>10</v>
      </c>
      <c r="B14" s="7">
        <v>1464.337</v>
      </c>
      <c r="C14" s="7">
        <v>1465.7840000000001</v>
      </c>
      <c r="D14" s="2"/>
      <c r="E14" s="10">
        <v>-0.1</v>
      </c>
      <c r="G14" s="14">
        <f t="shared" si="0"/>
        <v>-1.4470000000001164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11979.09</v>
      </c>
      <c r="C16" s="7">
        <v>11999.86</v>
      </c>
      <c r="D16" s="3"/>
      <c r="E16" s="10">
        <v>-0.17</v>
      </c>
      <c r="G16" s="14">
        <f t="shared" si="0"/>
        <v>-20.770000000000437</v>
      </c>
    </row>
    <row r="17" spans="1:7" ht="15.5" x14ac:dyDescent="0.35">
      <c r="A17" s="6" t="s">
        <v>12</v>
      </c>
      <c r="B17" s="7">
        <v>6362.6450000000004</v>
      </c>
      <c r="C17" s="7">
        <v>6362.9380000000001</v>
      </c>
      <c r="D17" s="3"/>
      <c r="E17" s="10">
        <v>0</v>
      </c>
      <c r="G17" s="14">
        <f t="shared" si="0"/>
        <v>-0.29299999999966531</v>
      </c>
    </row>
    <row r="18" spans="1:7" ht="15.5" x14ac:dyDescent="0.35">
      <c r="A18" s="6" t="s">
        <v>13</v>
      </c>
      <c r="B18" s="7">
        <v>2559.1680000000001</v>
      </c>
      <c r="C18" s="7">
        <v>2553.4580000000001</v>
      </c>
      <c r="D18" s="3"/>
      <c r="E18" s="8">
        <v>0.22</v>
      </c>
      <c r="G18" s="14">
        <f t="shared" si="0"/>
        <v>5.7100000000000364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1970.29</v>
      </c>
      <c r="C20" s="7">
        <v>1969.11</v>
      </c>
      <c r="D20" s="2"/>
      <c r="E20" s="8">
        <v>0.06</v>
      </c>
      <c r="G20" s="14">
        <f t="shared" si="0"/>
        <v>1.1800000000000637</v>
      </c>
    </row>
    <row r="21" spans="1:7" ht="15.5" x14ac:dyDescent="0.35">
      <c r="A21" s="6" t="s">
        <v>15</v>
      </c>
      <c r="B21" s="7">
        <v>1952.51</v>
      </c>
      <c r="C21" s="7">
        <v>1950.56</v>
      </c>
      <c r="D21" s="2"/>
      <c r="E21" s="8">
        <v>0.1</v>
      </c>
      <c r="G21" s="14">
        <f t="shared" si="0"/>
        <v>1.9500000000000455</v>
      </c>
    </row>
    <row r="22" spans="1:7" ht="31" x14ac:dyDescent="0.35">
      <c r="A22" s="6" t="s">
        <v>16</v>
      </c>
      <c r="B22" s="7">
        <v>1070.79</v>
      </c>
      <c r="C22" s="7">
        <v>1067.83</v>
      </c>
      <c r="D22" s="2"/>
      <c r="E22" s="8">
        <v>0.28000000000000003</v>
      </c>
      <c r="G22" s="14">
        <f t="shared" si="0"/>
        <v>2.9600000000000364</v>
      </c>
    </row>
    <row r="23" spans="1:7" ht="15.5" x14ac:dyDescent="0.35">
      <c r="A23" s="6" t="s">
        <v>17</v>
      </c>
      <c r="B23" s="7">
        <v>1930.18</v>
      </c>
      <c r="C23" s="7">
        <v>1938.998</v>
      </c>
      <c r="D23" s="3"/>
      <c r="E23" s="10">
        <v>-0.46</v>
      </c>
      <c r="G23" s="14">
        <f t="shared" si="0"/>
        <v>-8.8179999999999836</v>
      </c>
    </row>
    <row r="24" spans="1:7" ht="15.5" x14ac:dyDescent="0.35">
      <c r="A24" s="6" t="s">
        <v>18</v>
      </c>
      <c r="B24" s="9">
        <v>100.96899999999999</v>
      </c>
      <c r="C24" s="9">
        <v>101.078</v>
      </c>
      <c r="D24" s="3"/>
      <c r="E24" s="10">
        <v>-0.11</v>
      </c>
      <c r="G24" s="14">
        <f t="shared" si="0"/>
        <v>-0.10900000000000887</v>
      </c>
    </row>
    <row r="25" spans="1:7" ht="15.5" x14ac:dyDescent="0.35">
      <c r="A25" s="6" t="s">
        <v>19</v>
      </c>
      <c r="B25" s="9">
        <v>100.273</v>
      </c>
      <c r="C25" s="9">
        <v>100.35899999999999</v>
      </c>
      <c r="D25" s="3"/>
      <c r="E25" s="10">
        <v>-0.09</v>
      </c>
      <c r="G25" s="14">
        <f t="shared" si="0"/>
        <v>-8.5999999999998522E-2</v>
      </c>
    </row>
    <row r="26" spans="1:7" ht="15.5" x14ac:dyDescent="0.35">
      <c r="A26" s="6" t="s">
        <v>20</v>
      </c>
      <c r="B26" s="9">
        <v>100.039</v>
      </c>
      <c r="C26" s="9">
        <v>100.063</v>
      </c>
      <c r="D26" s="3"/>
      <c r="E26" s="10">
        <v>-0.02</v>
      </c>
      <c r="G26" s="14">
        <f t="shared" si="0"/>
        <v>-2.4000000000000909E-2</v>
      </c>
    </row>
    <row r="27" spans="1:7" x14ac:dyDescent="0.35">
      <c r="A27" s="11" t="s">
        <v>21</v>
      </c>
      <c r="B27" s="9">
        <v>1.0549999999999999</v>
      </c>
      <c r="C27" s="9">
        <v>1.0549999999999999</v>
      </c>
      <c r="D27" s="3"/>
      <c r="E27" s="8">
        <v>0</v>
      </c>
      <c r="G27" s="14">
        <f t="shared" si="0"/>
        <v>0</v>
      </c>
    </row>
    <row r="28" spans="1:7" x14ac:dyDescent="0.35">
      <c r="A28" s="11" t="s">
        <v>22</v>
      </c>
      <c r="B28" s="9">
        <v>1.115</v>
      </c>
      <c r="C28" s="9">
        <v>1.115</v>
      </c>
      <c r="D28" s="3"/>
      <c r="E28" s="8">
        <v>0</v>
      </c>
      <c r="G28" s="14">
        <f t="shared" si="0"/>
        <v>0</v>
      </c>
    </row>
    <row r="29" spans="1:7" ht="15.5" x14ac:dyDescent="0.35">
      <c r="A29" s="6" t="s">
        <v>23</v>
      </c>
      <c r="B29" s="9">
        <v>103.03100000000001</v>
      </c>
      <c r="C29" s="9">
        <v>102.914</v>
      </c>
      <c r="D29" s="3"/>
      <c r="E29" s="8">
        <v>0.11</v>
      </c>
      <c r="G29" s="14">
        <f t="shared" si="0"/>
        <v>0.11700000000000443</v>
      </c>
    </row>
    <row r="30" spans="1:7" ht="15.5" x14ac:dyDescent="0.35">
      <c r="A30" s="6" t="s">
        <v>24</v>
      </c>
      <c r="B30" s="7">
        <v>15265.63</v>
      </c>
      <c r="C30" s="7">
        <v>15202.1</v>
      </c>
      <c r="D30" s="3"/>
      <c r="E30" s="8">
        <v>0.42</v>
      </c>
      <c r="G30" s="14">
        <f t="shared" si="0"/>
        <v>63.529999999998836</v>
      </c>
    </row>
  </sheetData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1"/>
  <dimension ref="A1:G30"/>
  <sheetViews>
    <sheetView workbookViewId="0">
      <selection activeCell="C4" sqref="C4"/>
    </sheetView>
  </sheetViews>
  <sheetFormatPr defaultRowHeight="14.5" x14ac:dyDescent="0.35"/>
  <cols>
    <col min="1" max="1" width="37.81640625" bestFit="1" customWidth="1"/>
    <col min="2" max="2" width="13.1796875" bestFit="1" customWidth="1"/>
    <col min="3" max="3" width="10.7265625" bestFit="1" customWidth="1"/>
    <col min="5" max="5" width="10" bestFit="1" customWidth="1"/>
  </cols>
  <sheetData>
    <row r="1" spans="1:7" ht="18" x14ac:dyDescent="0.35">
      <c r="A1" s="1" t="s">
        <v>0</v>
      </c>
      <c r="B1" s="3"/>
      <c r="C1" s="2"/>
      <c r="D1" s="3"/>
      <c r="E1" s="2"/>
      <c r="G1" s="14"/>
    </row>
    <row r="2" spans="1:7" ht="15.5" x14ac:dyDescent="0.35">
      <c r="A2" s="4">
        <v>42950</v>
      </c>
      <c r="B2" s="3"/>
      <c r="C2" s="2"/>
      <c r="D2" s="3"/>
      <c r="E2" s="2"/>
      <c r="G2" s="14"/>
    </row>
    <row r="3" spans="1:7" ht="15.5" x14ac:dyDescent="0.35">
      <c r="A3" s="23" t="s">
        <v>25</v>
      </c>
      <c r="B3" s="24">
        <v>9538.23</v>
      </c>
      <c r="C3" s="24">
        <v>9563.67</v>
      </c>
      <c r="D3" s="25"/>
      <c r="E3" s="26">
        <f>G3/B3</f>
        <v>-2.6671615173884996E-3</v>
      </c>
      <c r="G3" s="14">
        <f>B3-C3</f>
        <v>-25.440000000000509</v>
      </c>
    </row>
    <row r="4" spans="1:7" ht="15.5" x14ac:dyDescent="0.35">
      <c r="A4" s="23" t="s">
        <v>26</v>
      </c>
      <c r="B4" s="24">
        <v>2725</v>
      </c>
      <c r="C4" s="24">
        <v>2737.41</v>
      </c>
      <c r="D4" s="25"/>
      <c r="E4" s="26">
        <f>G4/B4</f>
        <v>-4.5541284403669193E-3</v>
      </c>
      <c r="G4" s="14">
        <f>B4-C4</f>
        <v>-12.409999999999854</v>
      </c>
    </row>
    <row r="5" spans="1:7" x14ac:dyDescent="0.35">
      <c r="A5" s="5" t="s">
        <v>1</v>
      </c>
      <c r="B5" s="5" t="s">
        <v>2</v>
      </c>
      <c r="C5" s="5" t="s">
        <v>3</v>
      </c>
      <c r="D5" s="3"/>
      <c r="E5" s="5" t="s">
        <v>4</v>
      </c>
      <c r="G5" s="14"/>
    </row>
    <row r="6" spans="1:7" x14ac:dyDescent="0.35">
      <c r="A6" s="3"/>
      <c r="B6" s="3"/>
      <c r="C6" s="2"/>
      <c r="D6" s="3"/>
      <c r="E6" s="2"/>
      <c r="G6" s="14"/>
    </row>
    <row r="7" spans="1:7" ht="15.5" x14ac:dyDescent="0.35">
      <c r="A7" s="6" t="s">
        <v>5</v>
      </c>
      <c r="B7" s="7">
        <v>22026.1</v>
      </c>
      <c r="C7" s="7">
        <v>22016.240000000002</v>
      </c>
      <c r="D7" s="3"/>
      <c r="E7" s="8">
        <v>0.04</v>
      </c>
      <c r="G7" s="14">
        <f>B7-C7</f>
        <v>9.8599999999969441</v>
      </c>
    </row>
    <row r="8" spans="1:7" x14ac:dyDescent="0.35">
      <c r="A8" s="3"/>
      <c r="B8" s="2"/>
      <c r="C8" s="2"/>
      <c r="D8" s="3"/>
      <c r="E8" s="2"/>
      <c r="G8" s="14"/>
    </row>
    <row r="9" spans="1:7" ht="15.5" x14ac:dyDescent="0.35">
      <c r="A9" s="6" t="s">
        <v>6</v>
      </c>
      <c r="B9" s="7">
        <v>1747.13</v>
      </c>
      <c r="C9" s="7">
        <v>1752.37</v>
      </c>
      <c r="D9" s="3"/>
      <c r="E9" s="10">
        <v>-0.3</v>
      </c>
      <c r="G9" s="14">
        <f t="shared" ref="G9:G30" si="0">B9-C9</f>
        <v>-5.2399999999997817</v>
      </c>
    </row>
    <row r="10" spans="1:7" ht="15.5" x14ac:dyDescent="0.35">
      <c r="A10" s="6" t="s">
        <v>7</v>
      </c>
      <c r="B10" s="7">
        <v>2472.08</v>
      </c>
      <c r="C10" s="7">
        <v>2477.35</v>
      </c>
      <c r="D10" s="3"/>
      <c r="E10" s="10">
        <v>-0.21</v>
      </c>
      <c r="G10" s="14">
        <f t="shared" si="0"/>
        <v>-5.2699999999999818</v>
      </c>
    </row>
    <row r="11" spans="1:7" x14ac:dyDescent="0.35">
      <c r="A11" s="3"/>
      <c r="B11" s="2"/>
      <c r="C11" s="2"/>
      <c r="D11" s="2"/>
      <c r="E11" s="2"/>
      <c r="G11" s="14"/>
    </row>
    <row r="12" spans="1:7" ht="15.5" x14ac:dyDescent="0.35">
      <c r="A12" s="6" t="s">
        <v>8</v>
      </c>
      <c r="B12" s="7">
        <v>1368.827</v>
      </c>
      <c r="C12" s="7">
        <v>1371.579</v>
      </c>
      <c r="D12" s="2"/>
      <c r="E12" s="10">
        <v>-0.2</v>
      </c>
      <c r="G12" s="14">
        <f t="shared" si="0"/>
        <v>-2.7519999999999527</v>
      </c>
    </row>
    <row r="13" spans="1:7" ht="15.5" x14ac:dyDescent="0.35">
      <c r="A13" s="6" t="s">
        <v>9</v>
      </c>
      <c r="B13" s="7">
        <v>1405.289</v>
      </c>
      <c r="C13" s="7">
        <v>1412.94</v>
      </c>
      <c r="D13" s="2"/>
      <c r="E13" s="10">
        <v>-0.54</v>
      </c>
      <c r="G13" s="14">
        <f t="shared" si="0"/>
        <v>-7.6510000000000673</v>
      </c>
    </row>
    <row r="14" spans="1:7" ht="15.5" x14ac:dyDescent="0.35">
      <c r="A14" s="6" t="s">
        <v>10</v>
      </c>
      <c r="B14" s="7">
        <v>1461.038</v>
      </c>
      <c r="C14" s="7">
        <v>1464.337</v>
      </c>
      <c r="D14" s="2"/>
      <c r="E14" s="10">
        <v>-0.23</v>
      </c>
      <c r="G14" s="14">
        <f t="shared" si="0"/>
        <v>-3.2989999999999782</v>
      </c>
    </row>
    <row r="15" spans="1:7" x14ac:dyDescent="0.35">
      <c r="A15" s="3"/>
      <c r="B15" s="2"/>
      <c r="C15" s="2"/>
      <c r="D15" s="2"/>
      <c r="E15" s="2"/>
      <c r="G15" s="14"/>
    </row>
    <row r="16" spans="1:7" ht="15.5" x14ac:dyDescent="0.35">
      <c r="A16" s="6" t="s">
        <v>11</v>
      </c>
      <c r="B16" s="7">
        <v>11956.27</v>
      </c>
      <c r="C16" s="7">
        <v>11979.09</v>
      </c>
      <c r="D16" s="3"/>
      <c r="E16" s="10">
        <v>-0.19</v>
      </c>
      <c r="G16" s="14">
        <f t="shared" si="0"/>
        <v>-22.819999999999709</v>
      </c>
    </row>
    <row r="17" spans="1:7" ht="15.5" x14ac:dyDescent="0.35">
      <c r="A17" s="6" t="s">
        <v>12</v>
      </c>
      <c r="B17" s="7">
        <v>6340.3410000000003</v>
      </c>
      <c r="C17" s="7">
        <v>6362.6450000000004</v>
      </c>
      <c r="D17" s="3"/>
      <c r="E17" s="10">
        <v>-0.35</v>
      </c>
      <c r="G17" s="14">
        <f t="shared" si="0"/>
        <v>-22.304000000000087</v>
      </c>
    </row>
    <row r="18" spans="1:7" ht="15.5" x14ac:dyDescent="0.35">
      <c r="A18" s="6" t="s">
        <v>13</v>
      </c>
      <c r="B18" s="7">
        <v>2545.8910000000001</v>
      </c>
      <c r="C18" s="7">
        <v>2559.1680000000001</v>
      </c>
      <c r="D18" s="3"/>
      <c r="E18" s="10">
        <v>-0.52</v>
      </c>
      <c r="G18" s="14">
        <f t="shared" si="0"/>
        <v>-13.277000000000044</v>
      </c>
    </row>
    <row r="19" spans="1:7" x14ac:dyDescent="0.35">
      <c r="A19" s="3"/>
      <c r="B19" s="2"/>
      <c r="C19" s="2"/>
      <c r="D19" s="3"/>
      <c r="E19" s="2"/>
      <c r="G19" s="14"/>
    </row>
    <row r="20" spans="1:7" ht="15.5" x14ac:dyDescent="0.35">
      <c r="A20" s="6" t="s">
        <v>14</v>
      </c>
      <c r="B20" s="7">
        <v>1968.72</v>
      </c>
      <c r="C20" s="7">
        <v>1970.29</v>
      </c>
      <c r="D20" s="2"/>
      <c r="E20" s="10">
        <v>-0.08</v>
      </c>
      <c r="G20" s="14">
        <f t="shared" si="0"/>
        <v>-1.5699999999999363</v>
      </c>
    </row>
    <row r="21" spans="1:7" ht="15.5" x14ac:dyDescent="0.35">
      <c r="A21" s="6" t="s">
        <v>15</v>
      </c>
      <c r="B21" s="7">
        <v>1955.39</v>
      </c>
      <c r="C21" s="7">
        <v>1952.51</v>
      </c>
      <c r="D21" s="2"/>
      <c r="E21" s="8">
        <v>0.15</v>
      </c>
      <c r="G21" s="14">
        <f t="shared" si="0"/>
        <v>2.8800000000001091</v>
      </c>
    </row>
    <row r="22" spans="1:7" ht="31" x14ac:dyDescent="0.35">
      <c r="A22" s="6" t="s">
        <v>16</v>
      </c>
      <c r="B22" s="7">
        <v>1064.07</v>
      </c>
      <c r="C22" s="7">
        <v>1070.79</v>
      </c>
      <c r="D22" s="2"/>
      <c r="E22" s="10">
        <v>-0.63</v>
      </c>
      <c r="G22" s="14">
        <f t="shared" si="0"/>
        <v>-6.7200000000000273</v>
      </c>
    </row>
    <row r="23" spans="1:7" ht="15.5" x14ac:dyDescent="0.35">
      <c r="A23" s="6" t="s">
        <v>17</v>
      </c>
      <c r="B23" s="7">
        <v>1925</v>
      </c>
      <c r="C23" s="7">
        <v>1930.175</v>
      </c>
      <c r="D23" s="3"/>
      <c r="E23" s="10">
        <v>-0.27</v>
      </c>
      <c r="G23" s="14">
        <f t="shared" si="0"/>
        <v>-5.1749999999999545</v>
      </c>
    </row>
    <row r="24" spans="1:7" ht="15.5" x14ac:dyDescent="0.35">
      <c r="A24" s="6" t="s">
        <v>18</v>
      </c>
      <c r="B24" s="9">
        <v>101.328</v>
      </c>
      <c r="C24" s="9">
        <v>100.96899999999999</v>
      </c>
      <c r="D24" s="3"/>
      <c r="E24" s="8">
        <v>0.36</v>
      </c>
      <c r="G24" s="14">
        <f t="shared" si="0"/>
        <v>0.35900000000000887</v>
      </c>
    </row>
    <row r="25" spans="1:7" ht="15.5" x14ac:dyDescent="0.35">
      <c r="A25" s="6" t="s">
        <v>19</v>
      </c>
      <c r="B25" s="9">
        <v>100.414</v>
      </c>
      <c r="C25" s="9">
        <v>100.273</v>
      </c>
      <c r="D25" s="3"/>
      <c r="E25" s="8">
        <v>0.14000000000000001</v>
      </c>
      <c r="G25" s="14">
        <f t="shared" si="0"/>
        <v>0.14100000000000534</v>
      </c>
    </row>
    <row r="26" spans="1:7" ht="15.5" x14ac:dyDescent="0.35">
      <c r="A26" s="6" t="s">
        <v>20</v>
      </c>
      <c r="B26" s="9">
        <v>100.07</v>
      </c>
      <c r="C26" s="9">
        <v>100.039</v>
      </c>
      <c r="D26" s="3"/>
      <c r="E26" s="8">
        <v>0.03</v>
      </c>
      <c r="G26" s="14">
        <f t="shared" si="0"/>
        <v>3.0999999999991701E-2</v>
      </c>
    </row>
    <row r="27" spans="1:7" x14ac:dyDescent="0.35">
      <c r="A27" s="11" t="s">
        <v>21</v>
      </c>
      <c r="B27" s="9">
        <v>1.0580000000000001</v>
      </c>
      <c r="C27" s="9">
        <v>1.0549999999999999</v>
      </c>
      <c r="D27" s="3"/>
      <c r="E27" s="8">
        <v>0.28000000000000003</v>
      </c>
      <c r="G27" s="14">
        <f t="shared" si="0"/>
        <v>3.0000000000001137E-3</v>
      </c>
    </row>
    <row r="28" spans="1:7" x14ac:dyDescent="0.35">
      <c r="A28" s="11" t="s">
        <v>22</v>
      </c>
      <c r="B28" s="9">
        <v>1.1240000000000001</v>
      </c>
      <c r="C28" s="9">
        <v>1.115</v>
      </c>
      <c r="D28" s="3"/>
      <c r="E28" s="8">
        <v>0.81</v>
      </c>
      <c r="G28" s="14">
        <f t="shared" si="0"/>
        <v>9.000000000000119E-3</v>
      </c>
    </row>
    <row r="29" spans="1:7" ht="15.5" x14ac:dyDescent="0.35">
      <c r="A29" s="6" t="s">
        <v>23</v>
      </c>
      <c r="B29" s="9">
        <v>104.078</v>
      </c>
      <c r="C29" s="9">
        <v>103.03100000000001</v>
      </c>
      <c r="D29" s="3"/>
      <c r="E29" s="8">
        <v>1.02</v>
      </c>
      <c r="G29" s="14">
        <f t="shared" si="0"/>
        <v>1.046999999999997</v>
      </c>
    </row>
    <row r="30" spans="1:7" ht="15.5" x14ac:dyDescent="0.35">
      <c r="A30" s="6" t="s">
        <v>24</v>
      </c>
      <c r="B30" s="7">
        <v>15191.96</v>
      </c>
      <c r="C30" s="7">
        <v>15265.63</v>
      </c>
      <c r="D30" s="3"/>
      <c r="E30" s="10">
        <v>-0.48</v>
      </c>
      <c r="G30" s="14">
        <f t="shared" si="0"/>
        <v>-73.670000000000073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2"/>
  <dimension ref="A1:G30"/>
  <sheetViews>
    <sheetView workbookViewId="0"/>
  </sheetViews>
  <sheetFormatPr defaultRowHeight="14.5" x14ac:dyDescent="0.35"/>
  <cols>
    <col min="1" max="1" width="37.81640625" style="32" bestFit="1" customWidth="1"/>
    <col min="2" max="2" width="13.1796875" style="32" bestFit="1" customWidth="1"/>
    <col min="3" max="3" width="10.7265625" style="32" bestFit="1" customWidth="1"/>
    <col min="4" max="4" width="8.7265625" style="32"/>
    <col min="5" max="5" width="10" style="32" bestFit="1" customWidth="1"/>
    <col min="6" max="16384" width="8.7265625" style="32"/>
  </cols>
  <sheetData>
    <row r="1" spans="1:7" ht="18" x14ac:dyDescent="0.35">
      <c r="A1" s="29" t="s">
        <v>0</v>
      </c>
      <c r="B1" s="30"/>
      <c r="C1" s="31"/>
      <c r="D1" s="30"/>
      <c r="E1" s="31"/>
      <c r="G1" s="33"/>
    </row>
    <row r="2" spans="1:7" ht="15.5" x14ac:dyDescent="0.35">
      <c r="A2" s="34">
        <v>42951</v>
      </c>
      <c r="B2" s="30"/>
      <c r="C2" s="31"/>
      <c r="D2" s="30"/>
      <c r="E2" s="31"/>
      <c r="G2" s="33"/>
    </row>
    <row r="3" spans="1:7" ht="15.5" x14ac:dyDescent="0.35">
      <c r="A3" s="35" t="s">
        <v>25</v>
      </c>
      <c r="B3" s="36">
        <v>9577.07</v>
      </c>
      <c r="C3" s="36">
        <v>9538.23</v>
      </c>
      <c r="D3" s="37"/>
      <c r="E3" s="38">
        <f>G3/B3</f>
        <v>4.055520112101107E-3</v>
      </c>
      <c r="G3" s="33">
        <f>B3-C3</f>
        <v>38.840000000000146</v>
      </c>
    </row>
    <row r="4" spans="1:7" ht="15.5" x14ac:dyDescent="0.35">
      <c r="A4" s="35" t="s">
        <v>26</v>
      </c>
      <c r="B4" s="36">
        <v>2735.51</v>
      </c>
      <c r="C4" s="36">
        <v>2725</v>
      </c>
      <c r="D4" s="37"/>
      <c r="E4" s="38">
        <f>G4/B4</f>
        <v>3.842062357659163E-3</v>
      </c>
      <c r="G4" s="33">
        <f>B4-C4</f>
        <v>10.510000000000218</v>
      </c>
    </row>
    <row r="5" spans="1:7" x14ac:dyDescent="0.35">
      <c r="A5" s="39" t="s">
        <v>1</v>
      </c>
      <c r="B5" s="39" t="s">
        <v>2</v>
      </c>
      <c r="C5" s="39" t="s">
        <v>3</v>
      </c>
      <c r="D5" s="30"/>
      <c r="E5" s="39" t="s">
        <v>4</v>
      </c>
      <c r="G5" s="33"/>
    </row>
    <row r="6" spans="1:7" x14ac:dyDescent="0.35">
      <c r="A6" s="30"/>
      <c r="B6" s="30"/>
      <c r="C6" s="31"/>
      <c r="D6" s="30"/>
      <c r="E6" s="31"/>
      <c r="G6" s="33"/>
    </row>
    <row r="7" spans="1:7" ht="15.5" x14ac:dyDescent="0.35">
      <c r="A7" s="40" t="s">
        <v>5</v>
      </c>
      <c r="B7" s="41">
        <v>22092.81</v>
      </c>
      <c r="C7" s="41">
        <v>22026.1</v>
      </c>
      <c r="D7" s="30"/>
      <c r="E7" s="42">
        <v>0.3</v>
      </c>
      <c r="G7" s="33">
        <f>B7-C7</f>
        <v>66.710000000002765</v>
      </c>
    </row>
    <row r="8" spans="1:7" x14ac:dyDescent="0.35">
      <c r="A8" s="30"/>
      <c r="B8" s="31"/>
      <c r="C8" s="31"/>
      <c r="D8" s="30"/>
      <c r="E8" s="31"/>
      <c r="G8" s="33"/>
    </row>
    <row r="9" spans="1:7" ht="15.5" x14ac:dyDescent="0.35">
      <c r="A9" s="40" t="s">
        <v>6</v>
      </c>
      <c r="B9" s="41">
        <v>1751.46</v>
      </c>
      <c r="C9" s="41">
        <v>1747.13</v>
      </c>
      <c r="D9" s="30"/>
      <c r="E9" s="42">
        <v>0.25</v>
      </c>
      <c r="G9" s="33">
        <f t="shared" ref="G9:G30" si="0">B9-C9</f>
        <v>4.3299999999999272</v>
      </c>
    </row>
    <row r="10" spans="1:7" ht="15.5" x14ac:dyDescent="0.35">
      <c r="A10" s="40" t="s">
        <v>7</v>
      </c>
      <c r="B10" s="41">
        <v>2476.5100000000002</v>
      </c>
      <c r="C10" s="41">
        <v>2472.08</v>
      </c>
      <c r="D10" s="30"/>
      <c r="E10" s="42">
        <v>0.18</v>
      </c>
      <c r="G10" s="33">
        <f t="shared" si="0"/>
        <v>4.430000000000291</v>
      </c>
    </row>
    <row r="11" spans="1:7" x14ac:dyDescent="0.35">
      <c r="A11" s="30"/>
      <c r="B11" s="31"/>
      <c r="C11" s="31"/>
      <c r="D11" s="31"/>
      <c r="E11" s="31"/>
      <c r="G11" s="33"/>
    </row>
    <row r="12" spans="1:7" ht="15.5" x14ac:dyDescent="0.35">
      <c r="A12" s="40" t="s">
        <v>8</v>
      </c>
      <c r="B12" s="41">
        <v>1371.577</v>
      </c>
      <c r="C12" s="41">
        <v>1368.827</v>
      </c>
      <c r="D12" s="31"/>
      <c r="E12" s="42">
        <v>0.2</v>
      </c>
      <c r="G12" s="33">
        <f t="shared" si="0"/>
        <v>2.75</v>
      </c>
    </row>
    <row r="13" spans="1:7" ht="15.5" x14ac:dyDescent="0.35">
      <c r="A13" s="40" t="s">
        <v>9</v>
      </c>
      <c r="B13" s="41">
        <v>1412.251</v>
      </c>
      <c r="C13" s="41">
        <v>1405.289</v>
      </c>
      <c r="D13" s="31"/>
      <c r="E13" s="42">
        <v>0.5</v>
      </c>
      <c r="G13" s="33">
        <f t="shared" si="0"/>
        <v>6.9619999999999891</v>
      </c>
    </row>
    <row r="14" spans="1:7" ht="15.5" x14ac:dyDescent="0.35">
      <c r="A14" s="40" t="s">
        <v>10</v>
      </c>
      <c r="B14" s="41">
        <v>1464.2860000000001</v>
      </c>
      <c r="C14" s="41">
        <v>1461.038</v>
      </c>
      <c r="D14" s="31"/>
      <c r="E14" s="42">
        <v>0.22</v>
      </c>
      <c r="G14" s="33">
        <f t="shared" si="0"/>
        <v>3.2480000000000473</v>
      </c>
    </row>
    <row r="15" spans="1:7" x14ac:dyDescent="0.35">
      <c r="A15" s="30"/>
      <c r="B15" s="31"/>
      <c r="C15" s="31"/>
      <c r="D15" s="31"/>
      <c r="E15" s="31"/>
      <c r="G15" s="33"/>
    </row>
    <row r="16" spans="1:7" ht="15.5" x14ac:dyDescent="0.35">
      <c r="A16" s="40" t="s">
        <v>11</v>
      </c>
      <c r="B16" s="41">
        <v>11984.4</v>
      </c>
      <c r="C16" s="41">
        <v>11956.27</v>
      </c>
      <c r="D16" s="30"/>
      <c r="E16" s="42">
        <v>0.24</v>
      </c>
      <c r="G16" s="33">
        <f t="shared" si="0"/>
        <v>28.1299999999992</v>
      </c>
    </row>
    <row r="17" spans="1:7" ht="15.5" x14ac:dyDescent="0.35">
      <c r="A17" s="40" t="s">
        <v>12</v>
      </c>
      <c r="B17" s="41">
        <v>6351.5640000000003</v>
      </c>
      <c r="C17" s="41">
        <v>6340.3410000000003</v>
      </c>
      <c r="D17" s="30"/>
      <c r="E17" s="42">
        <v>0.18</v>
      </c>
      <c r="G17" s="33">
        <f t="shared" si="0"/>
        <v>11.222999999999956</v>
      </c>
    </row>
    <row r="18" spans="1:7" ht="15.5" x14ac:dyDescent="0.35">
      <c r="A18" s="40" t="s">
        <v>13</v>
      </c>
      <c r="B18" s="41">
        <v>2547.8069999999998</v>
      </c>
      <c r="C18" s="41">
        <v>2545.8910000000001</v>
      </c>
      <c r="D18" s="30"/>
      <c r="E18" s="42">
        <v>0.08</v>
      </c>
      <c r="G18" s="33">
        <f t="shared" si="0"/>
        <v>1.9159999999997126</v>
      </c>
    </row>
    <row r="19" spans="1:7" x14ac:dyDescent="0.35">
      <c r="A19" s="30"/>
      <c r="B19" s="31"/>
      <c r="C19" s="31"/>
      <c r="D19" s="30"/>
      <c r="E19" s="31"/>
      <c r="G19" s="33"/>
    </row>
    <row r="20" spans="1:7" ht="15.5" x14ac:dyDescent="0.35">
      <c r="A20" s="40" t="s">
        <v>14</v>
      </c>
      <c r="B20" s="41">
        <v>1968.93</v>
      </c>
      <c r="C20" s="41">
        <v>1968.72</v>
      </c>
      <c r="D20" s="31"/>
      <c r="E20" s="42">
        <v>0.01</v>
      </c>
      <c r="G20" s="33">
        <f t="shared" si="0"/>
        <v>0.21000000000003638</v>
      </c>
    </row>
    <row r="21" spans="1:7" ht="15.5" x14ac:dyDescent="0.35">
      <c r="A21" s="40" t="s">
        <v>15</v>
      </c>
      <c r="B21" s="41">
        <v>1950.91</v>
      </c>
      <c r="C21" s="41">
        <v>1955.39</v>
      </c>
      <c r="D21" s="31"/>
      <c r="E21" s="43">
        <v>-0.23</v>
      </c>
      <c r="G21" s="33">
        <f t="shared" si="0"/>
        <v>-4.4800000000000182</v>
      </c>
    </row>
    <row r="22" spans="1:7" ht="31" x14ac:dyDescent="0.35">
      <c r="A22" s="40" t="s">
        <v>16</v>
      </c>
      <c r="B22" s="41">
        <v>1066.8800000000001</v>
      </c>
      <c r="C22" s="41">
        <v>1064.07</v>
      </c>
      <c r="D22" s="31"/>
      <c r="E22" s="42">
        <v>0.26</v>
      </c>
      <c r="G22" s="33">
        <f t="shared" si="0"/>
        <v>2.8100000000001728</v>
      </c>
    </row>
    <row r="23" spans="1:7" ht="15.5" x14ac:dyDescent="0.35">
      <c r="A23" s="40" t="s">
        <v>17</v>
      </c>
      <c r="B23" s="41">
        <v>1928.75</v>
      </c>
      <c r="C23" s="41">
        <v>1924.999</v>
      </c>
      <c r="D23" s="30"/>
      <c r="E23" s="42">
        <v>0.19</v>
      </c>
      <c r="G23" s="33">
        <f t="shared" si="0"/>
        <v>3.7509999999999764</v>
      </c>
    </row>
    <row r="24" spans="1:7" ht="15.5" x14ac:dyDescent="0.35">
      <c r="A24" s="40" t="s">
        <v>18</v>
      </c>
      <c r="B24" s="44">
        <v>100.98399999999999</v>
      </c>
      <c r="C24" s="44">
        <v>101.328</v>
      </c>
      <c r="D24" s="30"/>
      <c r="E24" s="43">
        <v>-0.34</v>
      </c>
      <c r="G24" s="33">
        <f t="shared" si="0"/>
        <v>-0.3440000000000083</v>
      </c>
    </row>
    <row r="25" spans="1:7" ht="15.5" x14ac:dyDescent="0.35">
      <c r="A25" s="40" t="s">
        <v>19</v>
      </c>
      <c r="B25" s="44">
        <v>100.289</v>
      </c>
      <c r="C25" s="44">
        <v>100.414</v>
      </c>
      <c r="D25" s="30"/>
      <c r="E25" s="43">
        <v>-0.12</v>
      </c>
      <c r="G25" s="33">
        <f t="shared" si="0"/>
        <v>-0.125</v>
      </c>
    </row>
    <row r="26" spans="1:7" ht="15.5" x14ac:dyDescent="0.35">
      <c r="A26" s="40" t="s">
        <v>20</v>
      </c>
      <c r="B26" s="44">
        <v>100.047</v>
      </c>
      <c r="C26" s="44">
        <v>100.07</v>
      </c>
      <c r="D26" s="30"/>
      <c r="E26" s="43">
        <v>-0.02</v>
      </c>
      <c r="G26" s="33">
        <f t="shared" si="0"/>
        <v>-2.2999999999996135E-2</v>
      </c>
    </row>
    <row r="27" spans="1:7" x14ac:dyDescent="0.35">
      <c r="A27" s="45" t="s">
        <v>21</v>
      </c>
      <c r="B27" s="44">
        <v>1.0509999999999999</v>
      </c>
      <c r="C27" s="44">
        <v>1.0580000000000001</v>
      </c>
      <c r="D27" s="30"/>
      <c r="E27" s="43">
        <v>-0.66</v>
      </c>
      <c r="G27" s="33">
        <f t="shared" si="0"/>
        <v>-7.0000000000001172E-3</v>
      </c>
    </row>
    <row r="28" spans="1:7" x14ac:dyDescent="0.35">
      <c r="A28" s="45" t="s">
        <v>22</v>
      </c>
      <c r="B28" s="44">
        <v>1.1240000000000001</v>
      </c>
      <c r="C28" s="44">
        <v>1.1240000000000001</v>
      </c>
      <c r="D28" s="30"/>
      <c r="E28" s="42">
        <v>0</v>
      </c>
      <c r="G28" s="33">
        <f t="shared" si="0"/>
        <v>0</v>
      </c>
    </row>
    <row r="29" spans="1:7" ht="15.5" x14ac:dyDescent="0.35">
      <c r="A29" s="40" t="s">
        <v>23</v>
      </c>
      <c r="B29" s="44">
        <v>103.18</v>
      </c>
      <c r="C29" s="44">
        <v>104.078</v>
      </c>
      <c r="D29" s="30"/>
      <c r="E29" s="43">
        <v>-0.86</v>
      </c>
      <c r="G29" s="33">
        <f t="shared" si="0"/>
        <v>-0.89799999999999613</v>
      </c>
    </row>
    <row r="30" spans="1:7" ht="15.5" x14ac:dyDescent="0.35">
      <c r="A30" s="40" t="s">
        <v>24</v>
      </c>
      <c r="B30" s="41">
        <v>15257.97</v>
      </c>
      <c r="C30" s="41">
        <v>15191.96</v>
      </c>
      <c r="D30" s="30"/>
      <c r="E30" s="42">
        <v>0.43</v>
      </c>
      <c r="G30" s="33">
        <f t="shared" si="0"/>
        <v>66.010000000000218</v>
      </c>
    </row>
  </sheetData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3"/>
  <dimension ref="A1:E33"/>
  <sheetViews>
    <sheetView workbookViewId="0"/>
  </sheetViews>
  <sheetFormatPr defaultRowHeight="14.5" x14ac:dyDescent="0.35"/>
  <cols>
    <col min="1" max="1" width="43.54296875" bestFit="1" customWidth="1"/>
    <col min="2" max="2" width="10.453125" style="14" bestFit="1" customWidth="1"/>
    <col min="3" max="3" width="8.6328125" style="14" bestFit="1" customWidth="1"/>
    <col min="4" max="4" width="8.08984375" style="61" bestFit="1" customWidth="1"/>
    <col min="5" max="5" width="10.453125" style="14" bestFit="1" customWidth="1"/>
  </cols>
  <sheetData>
    <row r="1" spans="1:5" x14ac:dyDescent="0.35">
      <c r="A1" t="s">
        <v>28</v>
      </c>
      <c r="B1" s="62" t="s">
        <v>29</v>
      </c>
      <c r="C1" s="62" t="s">
        <v>30</v>
      </c>
      <c r="D1" s="63" t="s">
        <v>31</v>
      </c>
      <c r="E1" s="62" t="s">
        <v>64</v>
      </c>
    </row>
    <row r="2" spans="1:5" x14ac:dyDescent="0.35">
      <c r="A2" t="s">
        <v>32</v>
      </c>
      <c r="B2" s="14">
        <v>21844.01</v>
      </c>
      <c r="C2" s="14">
        <v>-204.69</v>
      </c>
      <c r="D2" s="61">
        <v>-9.2999999999999992E-3</v>
      </c>
      <c r="E2" s="14">
        <f>Stock_Indexes[[#This Row],[Last]]+Stock_Indexes[[#This Row],[Chg]]</f>
        <v>21639.32</v>
      </c>
    </row>
    <row r="3" spans="1:5" x14ac:dyDescent="0.35">
      <c r="A3" t="s">
        <v>33</v>
      </c>
      <c r="B3" s="14">
        <v>6216.87</v>
      </c>
      <c r="C3" s="14">
        <v>-135.46</v>
      </c>
      <c r="D3" s="61">
        <v>-2.1299999999999999E-2</v>
      </c>
      <c r="E3" s="14">
        <f>Stock_Indexes[[#This Row],[Last]]+Stock_Indexes[[#This Row],[Chg]]</f>
        <v>6081.41</v>
      </c>
    </row>
    <row r="4" spans="1:5" x14ac:dyDescent="0.35">
      <c r="A4" t="s">
        <v>34</v>
      </c>
      <c r="B4" s="14">
        <v>2438.21</v>
      </c>
      <c r="C4" s="14">
        <v>-35.81</v>
      </c>
      <c r="D4" s="61">
        <v>-1.4500000000000001E-2</v>
      </c>
      <c r="E4" s="14">
        <f>Stock_Indexes[[#This Row],[Last]]+Stock_Indexes[[#This Row],[Chg]]</f>
        <v>2402.4</v>
      </c>
    </row>
    <row r="5" spans="1:5" x14ac:dyDescent="0.35">
      <c r="A5" t="s">
        <v>35</v>
      </c>
      <c r="B5" s="14">
        <v>1372.54</v>
      </c>
      <c r="C5" s="14">
        <v>-24.4</v>
      </c>
      <c r="D5" s="61">
        <v>-1.7500000000000002E-2</v>
      </c>
      <c r="E5" s="14">
        <f>Stock_Indexes[[#This Row],[Last]]+Stock_Indexes[[#This Row],[Chg]]</f>
        <v>1348.1399999999999</v>
      </c>
    </row>
    <row r="6" spans="1:5" x14ac:dyDescent="0.35">
      <c r="A6" t="s">
        <v>36</v>
      </c>
      <c r="B6" s="14">
        <v>9119.74</v>
      </c>
      <c r="C6" s="14">
        <v>-115.67</v>
      </c>
      <c r="D6" s="61">
        <v>-1.2500000000000001E-2</v>
      </c>
      <c r="E6" s="14">
        <f>Stock_Indexes[[#This Row],[Last]]+Stock_Indexes[[#This Row],[Chg]]</f>
        <v>9004.07</v>
      </c>
    </row>
    <row r="7" spans="1:5" x14ac:dyDescent="0.35">
      <c r="A7" t="s">
        <v>37</v>
      </c>
      <c r="B7" s="14">
        <v>734.65</v>
      </c>
      <c r="C7" s="14">
        <v>1.76</v>
      </c>
      <c r="D7" s="61">
        <v>2.3999999999999998E-3</v>
      </c>
      <c r="E7" s="14">
        <f>Stock_Indexes[[#This Row],[Last]]+Stock_Indexes[[#This Row],[Chg]]</f>
        <v>736.41</v>
      </c>
    </row>
    <row r="8" spans="1:5" x14ac:dyDescent="0.35">
      <c r="A8" t="s">
        <v>38</v>
      </c>
      <c r="B8" s="14">
        <v>25165.599999999999</v>
      </c>
      <c r="C8" s="14">
        <v>-379.57</v>
      </c>
      <c r="D8" s="61">
        <v>-1.49E-2</v>
      </c>
      <c r="E8" s="14">
        <f>Stock_Indexes[[#This Row],[Last]]+Stock_Indexes[[#This Row],[Chg]]</f>
        <v>24786.03</v>
      </c>
    </row>
    <row r="9" spans="1:5" x14ac:dyDescent="0.35">
      <c r="A9" t="s">
        <v>39</v>
      </c>
      <c r="B9" s="14">
        <v>5788.19</v>
      </c>
      <c r="C9" s="14">
        <v>-131.19999999999999</v>
      </c>
      <c r="D9" s="61">
        <v>-2.2200000000000001E-2</v>
      </c>
      <c r="E9" s="14">
        <f>Stock_Indexes[[#This Row],[Last]]+Stock_Indexes[[#This Row],[Chg]]</f>
        <v>5656.99</v>
      </c>
    </row>
    <row r="10" spans="1:5" x14ac:dyDescent="0.35">
      <c r="A10" t="s">
        <v>40</v>
      </c>
      <c r="B10" s="14">
        <v>1707.83</v>
      </c>
      <c r="C10" s="14">
        <v>-28.11</v>
      </c>
      <c r="D10" s="61">
        <v>-1.6199999999999999E-2</v>
      </c>
      <c r="E10" s="14">
        <f>Stock_Indexes[[#This Row],[Last]]+Stock_Indexes[[#This Row],[Chg]]</f>
        <v>1679.72</v>
      </c>
    </row>
    <row r="11" spans="1:5" x14ac:dyDescent="0.35">
      <c r="A11" t="s">
        <v>41</v>
      </c>
      <c r="B11" s="14">
        <v>11771.6</v>
      </c>
      <c r="C11" s="14">
        <v>-157.86000000000001</v>
      </c>
      <c r="D11" s="61">
        <v>-1.32E-2</v>
      </c>
      <c r="E11" s="14">
        <f>Stock_Indexes[[#This Row],[Last]]+Stock_Indexes[[#This Row],[Chg]]</f>
        <v>11613.74</v>
      </c>
    </row>
    <row r="12" spans="1:5" x14ac:dyDescent="0.35">
      <c r="A12" t="s">
        <v>42</v>
      </c>
      <c r="B12" s="14">
        <v>634.02</v>
      </c>
      <c r="C12" s="14">
        <v>-11.82</v>
      </c>
      <c r="D12" s="61">
        <v>-1.83E-2</v>
      </c>
      <c r="E12" s="14">
        <f>Stock_Indexes[[#This Row],[Last]]+Stock_Indexes[[#This Row],[Chg]]</f>
        <v>622.19999999999993</v>
      </c>
    </row>
    <row r="13" spans="1:5" x14ac:dyDescent="0.35">
      <c r="A13" t="s">
        <v>43</v>
      </c>
      <c r="B13" s="14">
        <v>16.04</v>
      </c>
      <c r="C13" s="14">
        <v>4.93</v>
      </c>
      <c r="D13" s="61">
        <v>0.44369999999999998</v>
      </c>
      <c r="E13" s="14">
        <f>Stock_Indexes[[#This Row],[Last]]+Stock_Indexes[[#This Row],[Chg]]</f>
        <v>20.97</v>
      </c>
    </row>
    <row r="14" spans="1:5" x14ac:dyDescent="0.35">
      <c r="A14" t="s">
        <v>44</v>
      </c>
      <c r="B14" s="14">
        <v>2828.86</v>
      </c>
      <c r="C14" s="14">
        <v>-2.12</v>
      </c>
      <c r="D14" s="61">
        <v>-6.9999999999999999E-4</v>
      </c>
      <c r="E14" s="14">
        <f>Stock_Indexes[[#This Row],[Last]]+Stock_Indexes[[#This Row],[Chg]]</f>
        <v>2826.7400000000002</v>
      </c>
    </row>
    <row r="15" spans="1:5" x14ac:dyDescent="0.35">
      <c r="A15" t="s">
        <v>45</v>
      </c>
      <c r="B15" s="14">
        <v>2524.7800000000002</v>
      </c>
      <c r="C15" s="14">
        <v>5.83</v>
      </c>
      <c r="D15" s="61">
        <v>2.3E-3</v>
      </c>
      <c r="E15" s="14">
        <f>Stock_Indexes[[#This Row],[Last]]+Stock_Indexes[[#This Row],[Chg]]</f>
        <v>2530.61</v>
      </c>
    </row>
    <row r="16" spans="1:5" x14ac:dyDescent="0.35">
      <c r="A16" t="s">
        <v>46</v>
      </c>
      <c r="B16" s="14">
        <v>3460.3</v>
      </c>
      <c r="C16" s="14">
        <v>-34.11</v>
      </c>
      <c r="D16" s="61">
        <v>-9.7999999999999997E-3</v>
      </c>
      <c r="E16" s="14">
        <f>Stock_Indexes[[#This Row],[Last]]+Stock_Indexes[[#This Row],[Chg]]</f>
        <v>3426.19</v>
      </c>
    </row>
    <row r="17" spans="1:5" x14ac:dyDescent="0.35">
      <c r="A17" t="s">
        <v>47</v>
      </c>
      <c r="B17" s="14">
        <v>5690.6</v>
      </c>
      <c r="C17" s="14">
        <v>-70.3</v>
      </c>
      <c r="D17" s="61">
        <v>-1.2200000000000001E-2</v>
      </c>
      <c r="E17" s="14">
        <f>Stock_Indexes[[#This Row],[Last]]+Stock_Indexes[[#This Row],[Chg]]</f>
        <v>5620.3</v>
      </c>
    </row>
    <row r="18" spans="1:5" x14ac:dyDescent="0.35">
      <c r="A18" t="s">
        <v>48</v>
      </c>
      <c r="B18" s="14">
        <v>3226.74</v>
      </c>
      <c r="C18" s="14">
        <v>-35.01</v>
      </c>
      <c r="D18" s="61">
        <v>-1.0699999999999999E-2</v>
      </c>
      <c r="E18" s="14">
        <f>Stock_Indexes[[#This Row],[Last]]+Stock_Indexes[[#This Row],[Chg]]</f>
        <v>3191.7299999999996</v>
      </c>
    </row>
    <row r="19" spans="1:5" x14ac:dyDescent="0.35">
      <c r="A19" t="s">
        <v>49</v>
      </c>
      <c r="B19" s="14">
        <v>27032.75</v>
      </c>
      <c r="C19" s="14">
        <v>-411.25</v>
      </c>
      <c r="D19" s="61">
        <v>-1.4999999999999999E-2</v>
      </c>
      <c r="E19" s="14">
        <f>Stock_Indexes[[#This Row],[Last]]+Stock_Indexes[[#This Row],[Chg]]</f>
        <v>26621.5</v>
      </c>
    </row>
    <row r="20" spans="1:5" x14ac:dyDescent="0.35">
      <c r="A20" t="s">
        <v>50</v>
      </c>
      <c r="B20" s="14">
        <v>31531.33</v>
      </c>
      <c r="C20" s="14">
        <v>-266.51</v>
      </c>
      <c r="D20" s="61">
        <v>-8.3999999999999995E-3</v>
      </c>
      <c r="E20" s="14">
        <f>Stock_Indexes[[#This Row],[Last]]+Stock_Indexes[[#This Row],[Chg]]</f>
        <v>31264.820000000003</v>
      </c>
    </row>
    <row r="21" spans="1:5" x14ac:dyDescent="0.35">
      <c r="A21" t="s">
        <v>51</v>
      </c>
      <c r="B21" s="14">
        <v>19729.740000000002</v>
      </c>
      <c r="C21" s="14">
        <v>-8.9700000000000006</v>
      </c>
      <c r="D21" s="61">
        <v>-5.0000000000000001E-4</v>
      </c>
      <c r="E21" s="14">
        <f>Stock_Indexes[[#This Row],[Last]]+Stock_Indexes[[#This Row],[Chg]]</f>
        <v>19720.77</v>
      </c>
    </row>
    <row r="22" spans="1:5" x14ac:dyDescent="0.35">
      <c r="A22" t="s">
        <v>52</v>
      </c>
      <c r="B22" s="14">
        <v>3291.83</v>
      </c>
      <c r="C22" s="14">
        <v>-31.41</v>
      </c>
      <c r="D22" s="61">
        <v>-9.4999999999999998E-3</v>
      </c>
      <c r="E22" s="14">
        <f>Stock_Indexes[[#This Row],[Last]]+Stock_Indexes[[#This Row],[Chg]]</f>
        <v>3260.42</v>
      </c>
    </row>
    <row r="23" spans="1:5" x14ac:dyDescent="0.35">
      <c r="A23" t="s">
        <v>53</v>
      </c>
      <c r="B23" s="14">
        <v>3064.2</v>
      </c>
      <c r="C23" s="14">
        <v>-38.82</v>
      </c>
      <c r="D23" s="61">
        <v>-1.2500000000000001E-2</v>
      </c>
      <c r="E23" s="14">
        <f>Stock_Indexes[[#This Row],[Last]]+Stock_Indexes[[#This Row],[Chg]]</f>
        <v>3025.3799999999997</v>
      </c>
    </row>
    <row r="24" spans="1:5" x14ac:dyDescent="0.35">
      <c r="A24" t="s">
        <v>54</v>
      </c>
      <c r="B24" s="14">
        <v>376.05</v>
      </c>
      <c r="C24" s="14">
        <v>-3.79</v>
      </c>
      <c r="D24" s="61">
        <v>-0.01</v>
      </c>
      <c r="E24" s="14">
        <f>Stock_Indexes[[#This Row],[Last]]+Stock_Indexes[[#This Row],[Chg]]</f>
        <v>372.26</v>
      </c>
    </row>
    <row r="25" spans="1:5" x14ac:dyDescent="0.35">
      <c r="A25" t="s">
        <v>55</v>
      </c>
      <c r="B25" s="14">
        <v>5115.2299999999996</v>
      </c>
      <c r="C25" s="14">
        <v>-30.47</v>
      </c>
      <c r="D25" s="61">
        <v>-5.8999999999999999E-3</v>
      </c>
      <c r="E25" s="14">
        <f>Stock_Indexes[[#This Row],[Last]]+Stock_Indexes[[#This Row],[Chg]]</f>
        <v>5084.7599999999993</v>
      </c>
    </row>
    <row r="26" spans="1:5" x14ac:dyDescent="0.35">
      <c r="A26" t="s">
        <v>56</v>
      </c>
      <c r="B26" s="14">
        <v>12014.3</v>
      </c>
      <c r="C26" s="14">
        <v>-139.69999999999999</v>
      </c>
      <c r="D26" s="61">
        <v>-1.15E-2</v>
      </c>
      <c r="E26" s="14">
        <f>Stock_Indexes[[#This Row],[Last]]+Stock_Indexes[[#This Row],[Chg]]</f>
        <v>11874.599999999999</v>
      </c>
    </row>
    <row r="27" spans="1:5" x14ac:dyDescent="0.35">
      <c r="A27" t="s">
        <v>57</v>
      </c>
      <c r="B27" s="14">
        <v>21681.61</v>
      </c>
      <c r="C27" s="14">
        <v>-166.76</v>
      </c>
      <c r="D27" s="61">
        <v>-7.6E-3</v>
      </c>
      <c r="E27" s="14">
        <f>Stock_Indexes[[#This Row],[Last]]+Stock_Indexes[[#This Row],[Chg]]</f>
        <v>21514.850000000002</v>
      </c>
    </row>
    <row r="28" spans="1:5" x14ac:dyDescent="0.35">
      <c r="A28" t="s">
        <v>58</v>
      </c>
      <c r="B28" s="14">
        <v>10450</v>
      </c>
      <c r="C28" s="14">
        <v>-146</v>
      </c>
      <c r="D28" s="61">
        <v>-1.38E-2</v>
      </c>
      <c r="E28" s="14">
        <f>Stock_Indexes[[#This Row],[Last]]+Stock_Indexes[[#This Row],[Chg]]</f>
        <v>10304</v>
      </c>
    </row>
    <row r="29" spans="1:5" x14ac:dyDescent="0.35">
      <c r="A29" t="s">
        <v>59</v>
      </c>
      <c r="B29" s="14">
        <v>7389.94</v>
      </c>
      <c r="C29" s="14">
        <v>-108.12</v>
      </c>
      <c r="D29" s="61">
        <v>-1.44E-2</v>
      </c>
      <c r="E29" s="14">
        <f>Stock_Indexes[[#This Row],[Last]]+Stock_Indexes[[#This Row],[Chg]]</f>
        <v>7281.82</v>
      </c>
    </row>
    <row r="30" spans="1:5" x14ac:dyDescent="0.35">
      <c r="A30" t="s">
        <v>60</v>
      </c>
      <c r="B30" s="14">
        <v>5961.8</v>
      </c>
      <c r="C30" s="14">
        <v>0.19</v>
      </c>
      <c r="D30" s="61">
        <v>0</v>
      </c>
      <c r="E30" s="14">
        <f>Stock_Indexes[[#This Row],[Last]]+Stock_Indexes[[#This Row],[Chg]]</f>
        <v>5961.99</v>
      </c>
    </row>
    <row r="31" spans="1:5" x14ac:dyDescent="0.35">
      <c r="A31" t="s">
        <v>61</v>
      </c>
      <c r="B31" s="14">
        <v>66992.09</v>
      </c>
      <c r="C31" s="14">
        <v>-678.98</v>
      </c>
      <c r="D31" s="61">
        <v>-0.01</v>
      </c>
      <c r="E31" s="14">
        <f>Stock_Indexes[[#This Row],[Last]]+Stock_Indexes[[#This Row],[Chg]]</f>
        <v>66313.11</v>
      </c>
    </row>
    <row r="32" spans="1:5" x14ac:dyDescent="0.35">
      <c r="A32" t="s">
        <v>62</v>
      </c>
      <c r="B32" s="14">
        <v>15074.25</v>
      </c>
      <c r="C32" s="14">
        <v>-143.08000000000001</v>
      </c>
      <c r="D32" s="61">
        <v>-9.4000000000000004E-3</v>
      </c>
      <c r="E32" s="14">
        <f>Stock_Indexes[[#This Row],[Last]]+Stock_Indexes[[#This Row],[Chg]]</f>
        <v>14931.17</v>
      </c>
    </row>
    <row r="33" spans="1:5" x14ac:dyDescent="0.35">
      <c r="A33" t="s">
        <v>63</v>
      </c>
      <c r="B33" s="14">
        <v>50906.84</v>
      </c>
      <c r="C33" s="14">
        <v>-330.66</v>
      </c>
      <c r="D33" s="61">
        <v>-6.4999999999999997E-3</v>
      </c>
      <c r="E33" s="14">
        <f>Stock_Indexes[[#This Row],[Last]]+Stock_Indexes[[#This Row],[Chg]]</f>
        <v>50576.179999999993</v>
      </c>
    </row>
  </sheetData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1"/>
  <dimension ref="A1"/>
  <sheetViews>
    <sheetView tabSelected="1" workbookViewId="0">
      <selection activeCell="H9" sqref="H9"/>
    </sheetView>
  </sheetViews>
  <sheetFormatPr defaultRowHeight="14.5" x14ac:dyDescent="0.35"/>
  <cols>
    <col min="1" max="16384" width="8.7265625" style="60"/>
  </cols>
  <sheetData>
    <row r="1" spans="1:1" x14ac:dyDescent="0.35">
      <c r="A1" s="59" t="s">
        <v>27</v>
      </c>
    </row>
  </sheetData>
  <hyperlinks>
    <hyperlink ref="A1" r:id="rId1" xr:uid="{00000000-0004-0000-49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dexImport">
                <anchor moveWithCells="1" sizeWithCells="1">
                  <from>
                    <xdr:col>1</xdr:col>
                    <xdr:colOff>6350</xdr:colOff>
                    <xdr:row>2</xdr:row>
                    <xdr:rowOff>12700</xdr:rowOff>
                  </from>
                  <to>
                    <xdr:col>4</xdr:col>
                    <xdr:colOff>603250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B82FE9-5910-4765-BF75-B9CF1405A0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73</vt:i4>
      </vt:variant>
    </vt:vector>
  </HeadingPairs>
  <TitlesOfParts>
    <vt:vector size="73" baseType="lpstr">
      <vt:lpstr>4.25.17</vt:lpstr>
      <vt:lpstr>4.26.2017</vt:lpstr>
      <vt:lpstr>4.27.2017</vt:lpstr>
      <vt:lpstr>4.28.2017</vt:lpstr>
      <vt:lpstr>5.02.2017</vt:lpstr>
      <vt:lpstr>5.03.2017</vt:lpstr>
      <vt:lpstr>5.04.2017</vt:lpstr>
      <vt:lpstr>5.05.2017</vt:lpstr>
      <vt:lpstr>5.08.2017</vt:lpstr>
      <vt:lpstr>5.09.2017</vt:lpstr>
      <vt:lpstr>5.10.2017</vt:lpstr>
      <vt:lpstr>5.11.2017</vt:lpstr>
      <vt:lpstr>5.12.2016</vt:lpstr>
      <vt:lpstr>5.15.2017</vt:lpstr>
      <vt:lpstr>5.16.2017</vt:lpstr>
      <vt:lpstr>5.17.17</vt:lpstr>
      <vt:lpstr>5.18.2017</vt:lpstr>
      <vt:lpstr>5.19.2017</vt:lpstr>
      <vt:lpstr>5.22.2017</vt:lpstr>
      <vt:lpstr>5.23.2017</vt:lpstr>
      <vt:lpstr>5.24.2017</vt:lpstr>
      <vt:lpstr>5.25.2017</vt:lpstr>
      <vt:lpstr>5.26.2017</vt:lpstr>
      <vt:lpstr>5.30.2017</vt:lpstr>
      <vt:lpstr>5.31.2017</vt:lpstr>
      <vt:lpstr>6.01.2017</vt:lpstr>
      <vt:lpstr>6.02.2017</vt:lpstr>
      <vt:lpstr>6.05.2017</vt:lpstr>
      <vt:lpstr>6.06.2017</vt:lpstr>
      <vt:lpstr>6.07.2017</vt:lpstr>
      <vt:lpstr>6.08.2017</vt:lpstr>
      <vt:lpstr>6.09.2017</vt:lpstr>
      <vt:lpstr>6.12.2017</vt:lpstr>
      <vt:lpstr>6.13.2017</vt:lpstr>
      <vt:lpstr>6.14.2017</vt:lpstr>
      <vt:lpstr>6.15.2017</vt:lpstr>
      <vt:lpstr>6.16.2017</vt:lpstr>
      <vt:lpstr>6.19.2017</vt:lpstr>
      <vt:lpstr>6.20.2017</vt:lpstr>
      <vt:lpstr>6.21.2017</vt:lpstr>
      <vt:lpstr>6.22.2017</vt:lpstr>
      <vt:lpstr>6.23.2017</vt:lpstr>
      <vt:lpstr>6.26.2017</vt:lpstr>
      <vt:lpstr>6.27.2017</vt:lpstr>
      <vt:lpstr>6.28.2017</vt:lpstr>
      <vt:lpstr>6.29.2017</vt:lpstr>
      <vt:lpstr>6.30.2017</vt:lpstr>
      <vt:lpstr>7.03.2017</vt:lpstr>
      <vt:lpstr>7.05.2017</vt:lpstr>
      <vt:lpstr>7.06.2017</vt:lpstr>
      <vt:lpstr>7.07.2017</vt:lpstr>
      <vt:lpstr>7.10.2017</vt:lpstr>
      <vt:lpstr>7.11.2017</vt:lpstr>
      <vt:lpstr>7.12.2017</vt:lpstr>
      <vt:lpstr>7.13.2017</vt:lpstr>
      <vt:lpstr>7.14.2017</vt:lpstr>
      <vt:lpstr>7.17.2017</vt:lpstr>
      <vt:lpstr>7.18.2017</vt:lpstr>
      <vt:lpstr>7.19.2017</vt:lpstr>
      <vt:lpstr>7.20.2017</vt:lpstr>
      <vt:lpstr>7.21.2017</vt:lpstr>
      <vt:lpstr>7.24.2017</vt:lpstr>
      <vt:lpstr>7.25.2017</vt:lpstr>
      <vt:lpstr>7.26.2017</vt:lpstr>
      <vt:lpstr>7.27.2017</vt:lpstr>
      <vt:lpstr>7.28.2017</vt:lpstr>
      <vt:lpstr>7.31.2017</vt:lpstr>
      <vt:lpstr>8.1.2017</vt:lpstr>
      <vt:lpstr>8.2.2017</vt:lpstr>
      <vt:lpstr>8.3.2017</vt:lpstr>
      <vt:lpstr>8.4.2017</vt:lpstr>
      <vt:lpstr>QueryTable</vt:lpstr>
      <vt:lpstr>WebData</vt:lpstr>
    </vt:vector>
  </TitlesOfParts>
  <Company>State Street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Powell, Patrick</dc:creator>
  <cp:lastModifiedBy>Patrick Powell</cp:lastModifiedBy>
  <dcterms:created xsi:type="dcterms:W3CDTF">2017-04-25T20:35:46Z</dcterms:created>
  <dcterms:modified xsi:type="dcterms:W3CDTF">2018-01-02T00:34:36Z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bf073a23-44dd-4298-a50b-0f1b5f2dc3a3</vt:lpwstr>
  </property>
</Properties>
</file>